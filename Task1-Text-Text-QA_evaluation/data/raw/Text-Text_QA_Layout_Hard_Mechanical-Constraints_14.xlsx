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49B60695-67E3-4894-B16F-FC2FF9C0D68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2" i="1"/>
  <c r="E3" i="1"/>
  <c r="E4" i="1"/>
  <c r="E5" i="1"/>
  <c r="E6" i="1"/>
  <c r="E7" i="1"/>
  <c r="E8" i="1"/>
  <c r="E9" i="1"/>
  <c r="E10" i="1"/>
  <c r="E11" i="1"/>
  <c r="E12" i="1"/>
  <c r="E13" i="1"/>
  <c r="E14" i="1"/>
  <c r="E15" i="1"/>
  <c r="E2" i="1"/>
  <c r="J3" i="1"/>
  <c r="J15" i="1"/>
  <c r="J13" i="1"/>
  <c r="J4" i="1"/>
  <c r="J5" i="1"/>
  <c r="J14" i="1"/>
  <c r="J6" i="1"/>
  <c r="J12" i="1"/>
  <c r="J7" i="1"/>
  <c r="J8" i="1"/>
  <c r="J9" i="1"/>
  <c r="J11" i="1"/>
  <c r="J10" i="1"/>
  <c r="J2" i="1"/>
</calcChain>
</file>

<file path=xl/sharedStrings.xml><?xml version="1.0" encoding="utf-8"?>
<sst xmlns="http://schemas.openxmlformats.org/spreadsheetml/2006/main" count="93" uniqueCount="83">
  <si>
    <t>在严苛震动环境下，如何布局以增强连接器与大封装器件的机械可靠性？</t>
  </si>
  <si>
    <t>应布置在支撑铜皮充足区域，并用过孔阵列加强焊盘拉力。</t>
  </si>
  <si>
    <t>在严苛震动环境下，如何布局以增强连接器与大封装器件的机械可靠性？  
A. 可将器件远离边缘布置，并在靠近螺钉的区域设计辅助焊点以增强横向抗拉性  
B. 应布置在支撑铜皮充足区域，并用过孔阵列加强焊盘拉力  
C. 利用背胶增强连接力，并在PCB底部设置防脱结构减缓共振应力集中  
D. 增设金属压板夹持元件侧壁，并利用热压塑封实现冗余稳固  
E. 以上选项都不正确</t>
  </si>
  <si>
    <t>B</t>
  </si>
  <si>
    <t>How to layout connectors and large packages for mechanical reliability under vibration?</t>
  </si>
  <si>
    <t>Place on areas with solid copper support and reinforce pads with via arrays.</t>
  </si>
  <si>
    <t>在采用柔性排线连接的双板系统中，如何布局连接器与敏感模块以减少机械干扰？</t>
  </si>
  <si>
    <t>应将连接器布置在应力集中最小处，柔排路径避开模拟或射频模块，关键区域加支撑结构。</t>
  </si>
  <si>
    <t>在采用柔性排线连接的双板系统中，如何布局连接器与敏感模块以减少机械干扰？  
A. 应将连接器布置在应力集中最小处，柔排路径避开模拟或射频模块，关键区域加支撑结构  
B. 可将连接器布于近电源接口区域，并利用长柔排跨越板间空间减少信号失真风险  
C. 在柔性排线下方加贴背胶以提升粘附力，同时在对接点使用EMI泡棉提升抗扰能力  
D. 设置上下导轨限制柔排活动范围，并在插拔端额外设计应力缓冲桥接层  
E. 以上选项都不正确</t>
  </si>
  <si>
    <t>A</t>
  </si>
  <si>
    <t>In dual-board systems with FPCs, how to layout connectors and sensitive modules to minimize mechanical interference?</t>
  </si>
  <si>
    <t>Place connectors at stress-minimized points, route FPCs away from analog/RF modules, and reinforce key areas with mechanical support.</t>
  </si>
  <si>
    <t>在具备电容触控与机械按键双输入的嵌入式板中，如何布局人机交互区域以降低误触概率？</t>
  </si>
  <si>
    <t>应将触控与按键区域分区布置，控制IC居中，触控走线远离按键扫描路径。</t>
  </si>
  <si>
    <t>在具备电容触控与机械按键双输入的嵌入式板中，如何布局人机交互区域以降低误触概率？  
A. 将所有输入集中布局以节省空间，使用双层布线区分触控与按键逻辑通道  
B. 应将触控与按键区域分区布置，控制IC居中，触控走线远离按键扫描路径  
C. 布局时优先靠近主控芯片，触控与按键之间设置绝缘层以减少误识别  
D. 所有输入模块通过统一中断管理器连接，并使用保护二极管防止干扰误触  
E. 以上选项都不正确</t>
  </si>
  <si>
    <t>In touch + mechanical input systems, how to layout UI zones to reduce false triggering?</t>
  </si>
  <si>
    <t>Partition touch and keys, center the controller IC, and route touch traces away from key scans.</t>
  </si>
  <si>
    <t>在集成MEMS麦克风与加速度计的音频惯导模块中，如何布局以减少机械耦合干扰？</t>
  </si>
  <si>
    <t>麦克风与加速度计应隔离布置，避开共振路径，并通过地环进行屏蔽抑制耦合。</t>
  </si>
  <si>
    <t>在集成MEMS麦克风与加速度计的音频惯导模块中，如何布局以减少机械耦合干扰？  
A. 麦克风与加速度计应隔离布置，避开共振路径，并通过地环进行屏蔽抑制耦合  
B. 将两者布置于同一区域，并共用模拟供电轨以减小系统噪声差异  
C. 采用交错布置方式将其靠近PCB边缘，并通过柔性连接提升系统兼容性  
D. 在MEMS结构底部加装导热胶与吸震泡棉，从而避免频率响应误差累积  
E. 以上选项都不正确</t>
  </si>
  <si>
    <t>In MEMS audio+IMU modules, how to layout to reduce mechanical coupling?</t>
  </si>
  <si>
    <t>Isolate mic and IMU, avoid resonance paths, add ground shielding.</t>
  </si>
  <si>
    <t>如何提高PCB在高震动环境下的连接器固定强度？</t>
  </si>
  <si>
    <t>应在连接器周围布置大面积铜皮，并使用过孔阵列加强机械连接。</t>
  </si>
  <si>
    <t>如何提高PCB在高震动环境下的连接器固定强度？  
A. 在连接器附近增加多层走线和阻抗匹配结构，以优化信号完整性并降低振动影响  
B. 通过在连接器引脚下方增加吸震泡棉和柔性支撑材料，从而有效缓解焊点拉应力  
C. 将连接器布置于PCB中部核心区域，避免边缘冲击，并使用加强筋提升刚度  
D. 应在连接器周围布置大面积铜皮，并使用过孔阵列加强机械连接  
E. 以上选项都不正确</t>
  </si>
  <si>
    <t>D</t>
  </si>
  <si>
    <t>How to enhance connector mounting strength under high vibration?</t>
  </si>
  <si>
    <t>Use large copper pour and via arrays around connectors for reinforced mechanical bonding.</t>
  </si>
  <si>
    <t>为什么不建议将大尺寸芯片靠近板边布置？</t>
  </si>
  <si>
    <t>板边易受机械应力影响，可能导致器件脱焊或焊盘翘起。</t>
  </si>
  <si>
    <t>为什么不建议将大尺寸芯片靠近板边布置？  
A. 板边区域电磁干扰较强，易造成模拟信号处理异常与高频跳变问题  
B. 如果芯片靠近板边，覆铜层可能不连续，影响多层走线的参考完整性  
C. 板边布局限制电源分布自由度，不利于后续模块化扩展  
D. 板边易受机械应力影响，可能导致器件脱焊或焊盘翘起  
E. 以上选项都不正确</t>
  </si>
  <si>
    <t>Why is it not recommended to place large chips near PCB edges?</t>
  </si>
  <si>
    <t>PCB edges are stress-prone and may cause pad lifting or component detachment.</t>
  </si>
  <si>
    <t>如何为重型元器件提供额外支撑？</t>
  </si>
  <si>
    <t>可使用机械孔配合螺钉或塑料柱，提高垂直方向固定强度。</t>
  </si>
  <si>
    <t>如何为重型元器件提供额外支撑？  
A. 使用双面胶增强底部附着力，并额外加固外壳与元件的嵌合边界结构  
B. 可使用机械孔配合螺钉或塑料柱，提高垂直方向固定强度  
C. 在器件四角增设树脂粘结区并调整铜皮热传导路径以加强整体稳定性  
D. 借助垫片与过孔热耦合结构，在温升过高时维持器件形变可控  
E. 以上选项都不正确</t>
  </si>
  <si>
    <t>How to provide additional support for heavy components?</t>
  </si>
  <si>
    <t>Use mechanical holes with screws or standoffs to increase vertical stability.</t>
  </si>
  <si>
    <t>多板连接结构中，应如何布置定位孔以提高组装稳定性？</t>
  </si>
  <si>
    <t>定位孔应对称分布于板角，避开元件密集区，确保公差一致。</t>
  </si>
  <si>
    <t>多板连接结构中，应如何布置定位孔以提高组装稳定性？  
A. 定位孔应远离PCB边缘，以确保与外壳匹配精度，并兼顾焊接热平衡  
B. 应沿走线方向布置定位孔，利用已有布线网络引导装配方向和方向一致性  
C. 将定位孔安排在器件密集区域，可提升贴片效率并利于后期维修  
D. 定位孔应对称分布于板角，避开元件密集区，确保公差一致  
E. 以上选项都不正确</t>
  </si>
  <si>
    <t>How to place alignment holes in multi-board assemblies?</t>
  </si>
  <si>
    <t>Place them symmetrically at board corners, away from dense areas, and ensure dimensional consistency.</t>
  </si>
  <si>
    <t>如何避免震动造成大封装器件焊接开裂？</t>
  </si>
  <si>
    <t>应避免悬空布置，靠近铜皮支撑区域，并加密焊盘与过孔。</t>
  </si>
  <si>
    <t>如何避免震动造成大封装器件焊接开裂？  
A. 可将器件布置于多层信号区，利用走线耦合特性降低焊点的机械应力传播  
B. 应避免悬空布置，靠近铜皮支撑区域，并加密焊盘与过孔  
C. 使用高频隔离带将封装引脚分区布置，以缓解震动在大面积铜层传播时的共振效应  
D. 建议通过设置差分引脚对称布局来吸收拉力并配合大电容旁路提升热稳定性  
E. 以上选项都不正确</t>
  </si>
  <si>
    <t>How to prevent solder cracks in large packages due to vibration?</t>
  </si>
  <si>
    <t>Avoid floating layout, place near copper-supported zones, and reinforce pads with stitching vias.</t>
  </si>
  <si>
    <t>PCB上长连接器布线区域如何减小热胀冷缩应力？</t>
  </si>
  <si>
    <t>应加入走线缓冲区或蛇形走线吸收微小形变。</t>
  </si>
  <si>
    <t>PCB上长连接器布线区域如何减小热胀冷缩应力？  
A. 在连接器两端添加金属支架，提供机械缓冲并分担热应力传导路径中产生的形变  
B. 应加入走线缓冲区或蛇形走线吸收微小形变  
C. 可使用软排线结构替代刚性走线，并配合波纹铜箔实现动态伸缩  
D. 在布线层中加入热绝缘材料，降低冷热交替引起的局部应力集中  
E. 以上选项都不正确</t>
  </si>
  <si>
    <t>How to reduce thermal stress on long connector regions?</t>
  </si>
  <si>
    <t>Use buffer zones or serpentine routing to absorb micro-expansion/contraction.</t>
  </si>
  <si>
    <t>在高加速度应用中，PCB应如何防止层间分离？</t>
  </si>
  <si>
    <t>使用对称叠层、压合强化和边缘固定结构提高结构完整性。</t>
  </si>
  <si>
    <t>在高加速度应用中，PCB应如何防止层间分离？  
A. 尽量减少盲/埋孔比例并加密过孔阵列，均衡不同层间的应力传导路径  
B. 使用分层柔性材料实现不同层独立滑移，减少整体结构的变形积累  
C. 使用对称叠层、压合强化和边缘固定结构提高结构完整性  
D. 建议在层间引入聚酰亚胺层以提升弹性模量并吸收冲击能量  
E. 以上选项都不正确</t>
  </si>
  <si>
    <t>C</t>
  </si>
  <si>
    <t>How to prevent interlayer separation in high-G environments?</t>
  </si>
  <si>
    <t>Use symmetric stack-up, strong lamination, and edge mechanical fixtures.</t>
  </si>
  <si>
    <t>如何设计板边结构以提升抗跌落能力？</t>
  </si>
  <si>
    <t>可在板边加入圆角、限制尖锐过孔，避免应力集中。</t>
  </si>
  <si>
    <t>如何设计板边结构以提升抗跌落能力？  
A. 板边应设计为锯齿形结构以吸收冲击，布线集中于边缘内侧并使用高刚性材料增强支撑  
B. 可在板边加入圆角、限制尖锐过孔，避免应力集中  
C. 板边添加可拆卸限位框架，在跌落时分担受力路径并降低应力传播  
D. 建议使用分层外壳对边缘包覆，并在板框内增加柔性吸震层  
E. 以上选项都不正确</t>
  </si>
  <si>
    <t>How to improve drop resistance through PCB edge design?</t>
  </si>
  <si>
    <t>Add corner rounding, avoid sharp vias, and minimize stress concentration points.</t>
  </si>
  <si>
    <t>高频连接器固定时应注意哪些机械细节？</t>
  </si>
  <si>
    <t>应使用螺丝配合金属托架，并预留可靠的GND连接区。</t>
  </si>
  <si>
    <t>高频连接器固定时应注意哪些机械细节？  
A. 建议使用陶瓷支撑柱对接地引脚独立支撑，并通过UV胶封装增强抗振性  
B. 应使用螺丝配合金属托架，并预留可靠的GND连接区  
C. 可采用弹性连接器支架设计，吸收震动并保持高频特性稳定  
D. 推荐连接器悬空布置，避免接触主板大面积铜皮产生高频反射  
E. 以上选项都不正确</t>
  </si>
  <si>
    <t>What mechanical details matter for high-frequency connector mounting?</t>
  </si>
  <si>
    <t>Use screws with metal brackets and provide robust grounding zones.</t>
  </si>
  <si>
    <t>如何提升多层板在温湿变化下的结构稳定性？</t>
  </si>
  <si>
    <t>应控制铜分布均匀，避免层间热膨胀不均引发翘曲。</t>
  </si>
  <si>
    <t>如何提升多层板在温湿变化下的结构稳定性？  
A. 可采用多点加固焊盘结构，并在中间层使用陶瓷基板替代FR4以降低湿度敏感性  
B. 建议添加柔性中介层缓冲层间应力，同时在PCB四角预留应力释放孔  
C. 应控制铜分布均匀，避免层间热膨胀不均引发翘曲  
D. 通过减少布线层数和扩展外形尺寸降低热膨胀对结构完整性的影响  
E. 以上选项都不正确</t>
  </si>
  <si>
    <t>How to enhance multilayer PCB stability under temp/humidity changes?</t>
  </si>
  <si>
    <t>Maintain balanced copper distribution to prevent warping from uneven expansion.</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</si>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</sst>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vertical="center"/>
    </xf>
    <xf numFmtId="0" fontId="2" fillId="0" borderId="3" xfId="0" applyFont="1" applyBorder="1"/>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H1" workbookViewId="0">
      <selection activeCell="J1" sqref="J1"/>
    </sheetView>
  </sheetViews>
  <sheetFormatPr defaultColWidth="14" defaultRowHeight="13" x14ac:dyDescent="0.3"/>
  <cols>
    <col min="1" max="1" width="9" customWidth="1"/>
    <col min="2" max="2" width="45" customWidth="1"/>
    <col min="3" max="3" width="56" customWidth="1"/>
    <col min="4" max="5" width="59" customWidth="1"/>
    <col min="6" max="6" width="11" customWidth="1"/>
    <col min="7" max="8" width="61" customWidth="1"/>
    <col min="9" max="9" width="90" customWidth="1"/>
  </cols>
  <sheetData>
    <row r="1" spans="1:10" x14ac:dyDescent="0.3">
      <c r="A1" t="s">
        <v>74</v>
      </c>
      <c r="B1" t="s">
        <v>75</v>
      </c>
      <c r="C1" t="s">
        <v>76</v>
      </c>
      <c r="D1" t="s">
        <v>77</v>
      </c>
      <c r="F1" t="s">
        <v>78</v>
      </c>
      <c r="G1" t="s">
        <v>79</v>
      </c>
      <c r="H1" t="s">
        <v>80</v>
      </c>
      <c r="I1" t="s">
        <v>81</v>
      </c>
      <c r="J1" t="s">
        <v>82</v>
      </c>
    </row>
    <row r="2" spans="1:10" x14ac:dyDescent="0.3">
      <c r="A2" s="1">
        <v>1</v>
      </c>
      <c r="B2" s="2" t="s">
        <v>0</v>
      </c>
      <c r="C2" s="2" t="s">
        <v>1</v>
      </c>
      <c r="D2" s="2" t="s">
        <v>2</v>
      </c>
      <c r="E2" s="4" t="str">
        <f>RIGHT(D2, LEN(D2) - FIND("？", D2))</f>
        <v xml:space="preserve">  
A. 可将器件远离边缘布置，并在靠近螺钉的区域设计辅助焊点以增强横向抗拉性  
B. 应布置在支撑铜皮充足区域，并用过孔阵列加强焊盘拉力  
C. 利用背胶增强连接力，并在PCB底部设置防脱结构减缓共振应力集中  
D. 增设金属压板夹持元件侧壁，并利用热压塑封实现冗余稳固  
E. 以上选项都不正确</v>
      </c>
      <c r="F2" s="1" t="s">
        <v>3</v>
      </c>
      <c r="G2" s="2" t="s">
        <v>4</v>
      </c>
      <c r="H2" s="4" t="str">
        <f>G2</f>
        <v>How to layout connectors and large packages for mechanical reliability under vibration?</v>
      </c>
      <c r="I2" s="2" t="s">
        <v>5</v>
      </c>
      <c r="J2" t="str">
        <f>_xlfn.TRANSLATE(E2,"zh-chs","en")</f>
        <v xml:space="preserve">
A. The device can be arranged away from the edges and auxiliary solder joints can be designed near the screw to enhance lateral tensile resistance  
B. It should be arranged in an area with sufficient support for the copper skin, and the pad tension should be strengthened with a via array  
C. Use adhesive backing to enhance the connection force, and set up an anti-shedding structure at the bottom of the PCB to reduce the concentration of resonant stress  
D. Add a metal platen to hold the side wall of the element, and use hot pressing to achieve redundancy and stability  
E. None of the above options are correct</v>
      </c>
    </row>
    <row r="3" spans="1:10" x14ac:dyDescent="0.3">
      <c r="A3" s="1">
        <v>2</v>
      </c>
      <c r="B3" s="2" t="s">
        <v>6</v>
      </c>
      <c r="C3" s="2" t="s">
        <v>7</v>
      </c>
      <c r="D3" s="2" t="s">
        <v>8</v>
      </c>
      <c r="E3" s="4" t="str">
        <f t="shared" ref="E3:E15" si="0">RIGHT(D3, LEN(D3) - FIND("？", D3))</f>
        <v xml:space="preserve">  
A. 应将连接器布置在应力集中最小处，柔排路径避开模拟或射频模块，关键区域加支撑结构  
B. 可将连接器布于近电源接口区域，并利用长柔排跨越板间空间减少信号失真风险  
C. 在柔性排线下方加贴背胶以提升粘附力，同时在对接点使用EMI泡棉提升抗扰能力  
D. 设置上下导轨限制柔排活动范围，并在插拔端额外设计应力缓冲桥接层  
E. 以上选项都不正确</v>
      </c>
      <c r="F3" s="1" t="s">
        <v>9</v>
      </c>
      <c r="G3" s="2" t="s">
        <v>10</v>
      </c>
      <c r="H3" s="4" t="str">
        <f t="shared" ref="H3:H15" si="1">G3</f>
        <v>In dual-board systems with FPCs, how to layout connectors and sensitive modules to minimize mechanical interference?</v>
      </c>
      <c r="I3" s="2" t="s">
        <v>11</v>
      </c>
      <c r="J3" t="str">
        <f t="shared" ref="J3:J15" si="2">_xlfn.TRANSLATE(E3,"zh-chs","en")</f>
        <v xml:space="preserve">
A. The connectors should be arranged at the place where the stress concentration is minimized, the flexible path avoids analog or RF modules, and the support structure should be added in key areas  
B. The connector can be deployed near the power interface area, and the long flexible row can be used to cross the inter-board space to reduce the risk of signal distortion  
C. Adhesive backing is applied under the flexible cable to improve adhesion, and EMI foam is used at the docking point to improve the anti-disturbance ability  
D. Set up the upper and lower guide rails to limit the range of motion of the flexible row, and additionally design a stress buffer bridge layer at the plugging and unplugging end  
E. None of the above options are correct</v>
      </c>
    </row>
    <row r="4" spans="1:10" ht="13.5" x14ac:dyDescent="0.3">
      <c r="A4" s="1">
        <v>3</v>
      </c>
      <c r="B4" s="2" t="s">
        <v>12</v>
      </c>
      <c r="C4" s="2" t="s">
        <v>13</v>
      </c>
      <c r="D4" s="3" t="s">
        <v>14</v>
      </c>
      <c r="E4" s="4" t="str">
        <f t="shared" si="0"/>
        <v xml:space="preserve">  
A. 将所有输入集中布局以节省空间，使用双层布线区分触控与按键逻辑通道  
B. 应将触控与按键区域分区布置，控制IC居中，触控走线远离按键扫描路径  
C. 布局时优先靠近主控芯片，触控与按键之间设置绝缘层以减少误识别  
D. 所有输入模块通过统一中断管理器连接，并使用保护二极管防止干扰误触  
E. 以上选项都不正确</v>
      </c>
      <c r="F4" s="1" t="s">
        <v>3</v>
      </c>
      <c r="G4" s="2" t="s">
        <v>15</v>
      </c>
      <c r="H4" s="4" t="str">
        <f t="shared" si="1"/>
        <v>In touch + mechanical input systems, how to layout UI zones to reduce false triggering?</v>
      </c>
      <c r="I4" s="2" t="s">
        <v>16</v>
      </c>
      <c r="J4" t="str">
        <f t="shared" si="2"/>
        <v xml:space="preserve">
A. Centralize all inputs to save space by using double-layer cabling to distinguish between touch and key logic channels  
B. The touch and key areas should be divided into partitions, with the control IC in the center and the touch trace far away from the key scanning path  
C. Prioritize the location close to the main control chip when laying out, and set up an insulation layer between the touch and the buttons to reduce false identification  
D. All input modules are connected via a unified interrupt manager and use protection diodes to prevent interference from accidental touch  
E. None of the above options are correct</v>
      </c>
    </row>
    <row r="5" spans="1:10" x14ac:dyDescent="0.3">
      <c r="A5" s="1">
        <v>4</v>
      </c>
      <c r="B5" s="2" t="s">
        <v>17</v>
      </c>
      <c r="C5" s="2" t="s">
        <v>18</v>
      </c>
      <c r="D5" s="2" t="s">
        <v>19</v>
      </c>
      <c r="E5" s="4" t="str">
        <f t="shared" si="0"/>
        <v xml:space="preserve">  
A. 麦克风与加速度计应隔离布置，避开共振路径，并通过地环进行屏蔽抑制耦合  
B. 将两者布置于同一区域，并共用模拟供电轨以减小系统噪声差异  
C. 采用交错布置方式将其靠近PCB边缘，并通过柔性连接提升系统兼容性  
D. 在MEMS结构底部加装导热胶与吸震泡棉，从而避免频率响应误差累积  
E. 以上选项都不正确</v>
      </c>
      <c r="F5" s="1" t="s">
        <v>9</v>
      </c>
      <c r="G5" s="2" t="s">
        <v>20</v>
      </c>
      <c r="H5" s="4" t="str">
        <f t="shared" si="1"/>
        <v>In MEMS audio+IMU modules, how to layout to reduce mechanical coupling?</v>
      </c>
      <c r="I5" s="2" t="s">
        <v>21</v>
      </c>
      <c r="J5" t="str">
        <f t="shared" si="2"/>
        <v xml:space="preserve">
A. The microphone and accelerometer should be arranged in isolation to avoid the resonance path, and the shielding and suppression coupling should be carried out through the ground ring  
B. Arrange the two in the same area and share the analog power supply rail to reduce the noise difference of the system  
C. Staggered arrangement is used to bring it closer to the edge of the PCB and improve system compatibility with flexible connections  
D. Thermal conductive adhesive and shock-absorbing foam are installed at the bottom of the MEMS structure to avoid the accumulation of frequency response errors  
E. None of the above options are correct</v>
      </c>
    </row>
    <row r="6" spans="1:10" x14ac:dyDescent="0.3">
      <c r="A6" s="1">
        <v>5</v>
      </c>
      <c r="B6" s="2" t="s">
        <v>22</v>
      </c>
      <c r="C6" s="2" t="s">
        <v>23</v>
      </c>
      <c r="D6" s="2" t="s">
        <v>24</v>
      </c>
      <c r="E6" s="4" t="str">
        <f t="shared" si="0"/>
        <v xml:space="preserve">  
A. 在连接器附近增加多层走线和阻抗匹配结构，以优化信号完整性并降低振动影响  
B. 通过在连接器引脚下方增加吸震泡棉和柔性支撑材料，从而有效缓解焊点拉应力  
C. 将连接器布置于PCB中部核心区域，避免边缘冲击，并使用加强筋提升刚度  
D. 应在连接器周围布置大面积铜皮，并使用过孔阵列加强机械连接  
E. 以上选项都不正确</v>
      </c>
      <c r="F6" s="1" t="s">
        <v>25</v>
      </c>
      <c r="G6" s="2" t="s">
        <v>26</v>
      </c>
      <c r="H6" s="4" t="str">
        <f t="shared" si="1"/>
        <v>How to enhance connector mounting strength under high vibration?</v>
      </c>
      <c r="I6" s="2" t="s">
        <v>27</v>
      </c>
      <c r="J6" t="str">
        <f t="shared" si="2"/>
        <v xml:space="preserve">
A. Add multiple layers of traces and impedance-matched structures near the connector to optimize signal integrity and reduce vibration effects  
B. Effectively relieve solder joint tensile stress by adding shock-absorbing foam and flexible support material under the connector pins  
C. Position the connector in the central core area of the PCB to avoid edge impact and use stiffeners to increase stiffness  
D. A large area of copper skin should be arranged around the connector, and the mechanical connection should be strengthened using a via array  
E. None of the above options are correct</v>
      </c>
    </row>
    <row r="7" spans="1:10" x14ac:dyDescent="0.3">
      <c r="A7" s="1">
        <v>6</v>
      </c>
      <c r="B7" s="2" t="s">
        <v>28</v>
      </c>
      <c r="C7" t="s">
        <v>29</v>
      </c>
      <c r="D7" s="2" t="s">
        <v>30</v>
      </c>
      <c r="E7" s="4" t="str">
        <f t="shared" si="0"/>
        <v xml:space="preserve">  
A. 板边区域电磁干扰较强，易造成模拟信号处理异常与高频跳变问题  
B. 如果芯片靠近板边，覆铜层可能不连续，影响多层走线的参考完整性  
C. 板边布局限制电源分布自由度，不利于后续模块化扩展  
D. 板边易受机械应力影响，可能导致器件脱焊或焊盘翘起  
E. 以上选项都不正确</v>
      </c>
      <c r="F7" s="1" t="s">
        <v>25</v>
      </c>
      <c r="G7" t="s">
        <v>31</v>
      </c>
      <c r="H7" s="4" t="str">
        <f t="shared" si="1"/>
        <v>Why is it not recommended to place large chips near PCB edges?</v>
      </c>
      <c r="I7" t="s">
        <v>32</v>
      </c>
      <c r="J7" t="str">
        <f t="shared" si="2"/>
        <v xml:space="preserve">
A. The electromagnetic interference in the edge area of the board is strong, which is easy to cause abnormal analog signal processing and high-frequency jumping problems  
B. If the chip is close to the edge of the board, the copper clad layer may be discontinuous, affecting the reference integrity of the multi-layer traces  
C. The board edge layout limits the degree of freedom of power distribution and is not conducive to subsequent modular expansion  
D. The edge of the board is susceptible to mechanical stress, which can cause the device to be desoldered or the pad to lift  
E. None of the above options are correct</v>
      </c>
    </row>
    <row r="8" spans="1:10" x14ac:dyDescent="0.3">
      <c r="A8" s="1">
        <v>7</v>
      </c>
      <c r="B8" t="s">
        <v>33</v>
      </c>
      <c r="C8" t="s">
        <v>34</v>
      </c>
      <c r="D8" s="2" t="s">
        <v>35</v>
      </c>
      <c r="E8" s="4" t="str">
        <f t="shared" si="0"/>
        <v xml:space="preserve">  
A. 使用双面胶增强底部附着力，并额外加固外壳与元件的嵌合边界结构  
B. 可使用机械孔配合螺钉或塑料柱，提高垂直方向固定强度  
C. 在器件四角增设树脂粘结区并调整铜皮热传导路径以加强整体稳定性  
D. 借助垫片与过孔热耦合结构，在温升过高时维持器件形变可控  
E. 以上选项都不正确</v>
      </c>
      <c r="F8" s="1" t="s">
        <v>3</v>
      </c>
      <c r="G8" t="s">
        <v>36</v>
      </c>
      <c r="H8" s="4" t="str">
        <f t="shared" si="1"/>
        <v>How to provide additional support for heavy components?</v>
      </c>
      <c r="I8" t="s">
        <v>37</v>
      </c>
      <c r="J8" t="str">
        <f t="shared" si="2"/>
        <v xml:space="preserve">
A. Use double-sided adhesive to enhance bottom adhesion and additionally reinforce the chimeric boundary structure of the shell to the element  
B. Mechanical holes can be used to match screws or plastic columns to improve the vertical fixing strength  
C. Add resin bonding zones to the four corners of the device and adjust the heat conduction path of the copper skin to enhance the overall stability  
D. With the help of gasket and via thermal coupling structure, the device deformation is controlled when the temperature rise is too high  
E. None of the above options are correct</v>
      </c>
    </row>
    <row r="9" spans="1:10" x14ac:dyDescent="0.3">
      <c r="A9" s="1">
        <v>8</v>
      </c>
      <c r="B9" t="s">
        <v>38</v>
      </c>
      <c r="C9" t="s">
        <v>39</v>
      </c>
      <c r="D9" s="2" t="s">
        <v>40</v>
      </c>
      <c r="E9" s="4" t="str">
        <f t="shared" si="0"/>
        <v xml:space="preserve">  
A. 定位孔应远离PCB边缘，以确保与外壳匹配精度，并兼顾焊接热平衡  
B. 应沿走线方向布置定位孔，利用已有布线网络引导装配方向和方向一致性  
C. 将定位孔安排在器件密集区域，可提升贴片效率并利于后期维修  
D. 定位孔应对称分布于板角，避开元件密集区，确保公差一致  
E. 以上选项都不正确</v>
      </c>
      <c r="F9" s="1" t="s">
        <v>25</v>
      </c>
      <c r="G9" t="s">
        <v>41</v>
      </c>
      <c r="H9" s="4" t="str">
        <f t="shared" si="1"/>
        <v>How to place alignment holes in multi-board assemblies?</v>
      </c>
      <c r="I9" t="s">
        <v>42</v>
      </c>
      <c r="J9" t="str">
        <f t="shared" si="2"/>
        <v xml:space="preserve">
A. The locating holes should be kept away from the edge of the PCB to ensure accurate matching accuracy with the enclosure and take into account the thermal balance of the solder  
B. The positioning holes should be arranged along the direction of the wiring, and the existing wiring network should be used to guide the assembly direction and direction consistency  
C. Arrange the locating holes in the dense area of the device to improve the SMT efficiency and facilitate later maintenance  
D. The positioning holes are symmetrically distributed at the corners of the board, avoiding dense component areas to ensure consistent tolerances  
E. None of the above options are correct</v>
      </c>
    </row>
    <row r="10" spans="1:10" x14ac:dyDescent="0.3">
      <c r="A10" s="1">
        <v>9</v>
      </c>
      <c r="B10" t="s">
        <v>43</v>
      </c>
      <c r="C10" t="s">
        <v>44</v>
      </c>
      <c r="D10" s="2" t="s">
        <v>45</v>
      </c>
      <c r="E10" s="4" t="str">
        <f t="shared" si="0"/>
        <v xml:space="preserve">  
A. 可将器件布置于多层信号区，利用走线耦合特性降低焊点的机械应力传播  
B. 应避免悬空布置，靠近铜皮支撑区域，并加密焊盘与过孔  
C. 使用高频隔离带将封装引脚分区布置，以缓解震动在大面积铜层传播时的共振效应  
D. 建议通过设置差分引脚对称布局来吸收拉力并配合大电容旁路提升热稳定性  
E. 以上选项都不正确</v>
      </c>
      <c r="F10" s="1" t="s">
        <v>3</v>
      </c>
      <c r="G10" t="s">
        <v>46</v>
      </c>
      <c r="H10" s="4" t="str">
        <f t="shared" si="1"/>
        <v>How to prevent solder cracks in large packages due to vibration?</v>
      </c>
      <c r="I10" t="s">
        <v>47</v>
      </c>
      <c r="J10" t="str">
        <f t="shared" si="2"/>
        <v xml:space="preserve">
A. The device can be arranged in the multi-layer signal area, and the trace coupling characteristics can be used to reduce the mechanical stress propagation of the solder joint  
B. Avoid hanging arrangements, close to the copper support area, and encrypt the pads and vias  
C. Use high-frequency isolation strips to partition the package pins to mitigate the resonant effects of vibration when it propagates over a large area of copper  
D. It is recommended to set a differential pin symmetrical layout to absorb tensile forces and improve thermal stability with large capacitor bypasses  
E. None of the above options are correct</v>
      </c>
    </row>
    <row r="11" spans="1:10" x14ac:dyDescent="0.3">
      <c r="A11" s="1">
        <v>10</v>
      </c>
      <c r="B11" t="s">
        <v>48</v>
      </c>
      <c r="C11" t="s">
        <v>49</v>
      </c>
      <c r="D11" s="2" t="s">
        <v>50</v>
      </c>
      <c r="E11" s="4" t="str">
        <f t="shared" si="0"/>
        <v xml:space="preserve">  
A. 在连接器两端添加金属支架，提供机械缓冲并分担热应力传导路径中产生的形变  
B. 应加入走线缓冲区或蛇形走线吸收微小形变  
C. 可使用软排线结构替代刚性走线，并配合波纹铜箔实现动态伸缩  
D. 在布线层中加入热绝缘材料，降低冷热交替引起的局部应力集中  
E. 以上选项都不正确</v>
      </c>
      <c r="F11" s="1" t="s">
        <v>3</v>
      </c>
      <c r="G11" t="s">
        <v>51</v>
      </c>
      <c r="H11" s="4" t="str">
        <f t="shared" si="1"/>
        <v>How to reduce thermal stress on long connector regions?</v>
      </c>
      <c r="I11" t="s">
        <v>52</v>
      </c>
      <c r="J11" t="str">
        <f t="shared" si="2"/>
        <v xml:space="preserve">
A. Add metal brackets to both ends of the connector to provide mechanical cushioning and share the deformation in the thermal stress conduction path  
B. A trace buffer or serpentine trace should be added to absorb minor deformations  
C. The flexible cable structure can be used to replace the rigid cable trace, and the corrugated copper foil can be used to realize dynamic expansion and contraction  
D. Add thermal insulation materials to the wiring layer to reduce the local stress concentration caused by the alternation of hot and cold  
E. None of the above options are correct</v>
      </c>
    </row>
    <row r="12" spans="1:10" x14ac:dyDescent="0.3">
      <c r="A12" s="1">
        <v>11</v>
      </c>
      <c r="B12" t="s">
        <v>53</v>
      </c>
      <c r="C12" t="s">
        <v>54</v>
      </c>
      <c r="D12" s="2" t="s">
        <v>55</v>
      </c>
      <c r="E12" s="4" t="str">
        <f t="shared" si="0"/>
        <v xml:space="preserve">  
A. 尽量减少盲/埋孔比例并加密过孔阵列，均衡不同层间的应力传导路径  
B. 使用分层柔性材料实现不同层独立滑移，减少整体结构的变形积累  
C. 使用对称叠层、压合强化和边缘固定结构提高结构完整性  
D. 建议在层间引入聚酰亚胺层以提升弹性模量并吸收冲击能量  
E. 以上选项都不正确</v>
      </c>
      <c r="F12" s="1" t="s">
        <v>56</v>
      </c>
      <c r="G12" t="s">
        <v>57</v>
      </c>
      <c r="H12" s="4" t="str">
        <f t="shared" si="1"/>
        <v>How to prevent interlayer separation in high-G environments?</v>
      </c>
      <c r="I12" t="s">
        <v>58</v>
      </c>
      <c r="J12" t="str">
        <f t="shared" si="2"/>
        <v xml:space="preserve">
A. Minimize the blind/buried via ratio and encrypt the via array to balance the stress conduction paths between different layers  
B. Use layered flexible materials to achieve independent slippage of different layers to reduce the deformation accumulation of the overall structure  
C. Improve structural integrity using symmetrical stackup, press-fit reinforcement, and edge fixation structures  
D. It is recommended to introduce a polyimide layer between layers to increase the elastic modulus and absorb impact energy  
E. None of the above options are correct</v>
      </c>
    </row>
    <row r="13" spans="1:10" x14ac:dyDescent="0.3">
      <c r="A13" s="1">
        <v>12</v>
      </c>
      <c r="B13" t="s">
        <v>59</v>
      </c>
      <c r="C13" t="s">
        <v>60</v>
      </c>
      <c r="D13" s="2" t="s">
        <v>61</v>
      </c>
      <c r="E13" s="4" t="str">
        <f t="shared" si="0"/>
        <v xml:space="preserve">  
A. 板边应设计为锯齿形结构以吸收冲击，布线集中于边缘内侧并使用高刚性材料增强支撑  
B. 可在板边加入圆角、限制尖锐过孔，避免应力集中  
C. 板边添加可拆卸限位框架，在跌落时分担受力路径并降低应力传播  
D. 建议使用分层外壳对边缘包覆，并在板框内增加柔性吸震层  
E. 以上选项都不正确</v>
      </c>
      <c r="F13" s="1" t="s">
        <v>3</v>
      </c>
      <c r="G13" t="s">
        <v>62</v>
      </c>
      <c r="H13" s="4" t="str">
        <f t="shared" si="1"/>
        <v>How to improve drop resistance through PCB edge design?</v>
      </c>
      <c r="I13" t="s">
        <v>63</v>
      </c>
      <c r="J13" t="str">
        <f t="shared" si="2"/>
        <v xml:space="preserve">
A. The edges of the board should be designed with a zigzag structure to absorb impact, with routing concentrated on the inside of the edge and reinforced support with highly rigid materials  
B. Rounded corners can be added to the edge of the board to limit sharp vias to avoid stress concentration  
C. Add a removable limit frame to the edge of the board to share the stress path and reduce stress propagation in the event of a drop  
D. It is recommended to use a layered shell to cover the edges and add a flexible shock-absorbing layer within the plate frame  
E. None of the above options are correct</v>
      </c>
    </row>
    <row r="14" spans="1:10" x14ac:dyDescent="0.3">
      <c r="A14" s="1">
        <v>13</v>
      </c>
      <c r="B14" t="s">
        <v>64</v>
      </c>
      <c r="C14" t="s">
        <v>65</v>
      </c>
      <c r="D14" s="2" t="s">
        <v>66</v>
      </c>
      <c r="E14" s="4" t="str">
        <f t="shared" si="0"/>
        <v xml:space="preserve">  
A. 建议使用陶瓷支撑柱对接地引脚独立支撑，并通过UV胶封装增强抗振性  
B. 应使用螺丝配合金属托架，并预留可靠的GND连接区  
C. 可采用弹性连接器支架设计，吸收震动并保持高频特性稳定  
D. 推荐连接器悬空布置，避免接触主板大面积铜皮产生高频反射  
E. 以上选项都不正确</v>
      </c>
      <c r="F14" s="1" t="s">
        <v>3</v>
      </c>
      <c r="G14" t="s">
        <v>67</v>
      </c>
      <c r="H14" s="4" t="str">
        <f t="shared" si="1"/>
        <v>What mechanical details matter for high-frequency connector mounting?</v>
      </c>
      <c r="I14" t="s">
        <v>68</v>
      </c>
      <c r="J14" t="str">
        <f t="shared" si="2"/>
        <v xml:space="preserve">
A. It is recommended to use ceramic support columns to support the ground pins independently and enhance vibration resistance through UV adhesive encapsulation  
B. Screws should be used to fit the metal brackets and a reliable GND connection area should be reserved  
C. It can be designed with elastic connector brackets to absorb vibration and keep the high-frequency characteristics stable  
D. It is recommended to place the connector in the air to avoid high-frequency reflection from touching a large area of the copper skin of the motherboard  
E. None of the above options are correct</v>
      </c>
    </row>
    <row r="15" spans="1:10" x14ac:dyDescent="0.3">
      <c r="A15" s="1">
        <v>14</v>
      </c>
      <c r="B15" t="s">
        <v>69</v>
      </c>
      <c r="C15" t="s">
        <v>70</v>
      </c>
      <c r="D15" s="2" t="s">
        <v>71</v>
      </c>
      <c r="E15" s="4" t="str">
        <f t="shared" si="0"/>
        <v xml:space="preserve">  
A. 可采用多点加固焊盘结构，并在中间层使用陶瓷基板替代FR4以降低湿度敏感性  
B. 建议添加柔性中介层缓冲层间应力，同时在PCB四角预留应力释放孔  
C. 应控制铜分布均匀，避免层间热膨胀不均引发翘曲  
D. 通过减少布线层数和扩展外形尺寸降低热膨胀对结构完整性的影响  
E. 以上选项都不正确</v>
      </c>
      <c r="F15" s="1" t="s">
        <v>56</v>
      </c>
      <c r="G15" t="s">
        <v>72</v>
      </c>
      <c r="H15" s="4" t="str">
        <f t="shared" si="1"/>
        <v>How to enhance multilayer PCB stability under temp/humidity changes?</v>
      </c>
      <c r="I15" t="s">
        <v>73</v>
      </c>
      <c r="J15" t="str">
        <f t="shared" si="2"/>
        <v xml:space="preserve">
A. Multi-point reinforced pad structure can be adopted, and ceramic substrates can be used instead of FR4 in the middle layer to reduce moisture sensitivity  
B. It is recommended to add a flexible interposer to buffer the interlayer stress, and reserve stress relief holes at the four corners of the PCB  
C. The copper should be evenly distributed to avoid warping caused by uneven thermal expansion between layers  
D. Reduce the impact of thermal expansion on structural integrity by reducing the number of wiring layers and extending the form factor  
E. None of the above options are correct</v>
      </c>
    </row>
    <row r="16" spans="1:10" x14ac:dyDescent="0.3">
      <c r="D16" s="2"/>
      <c r="E16" s="4"/>
      <c r="F16" s="1"/>
    </row>
    <row r="17" spans="4:6" x14ac:dyDescent="0.3">
      <c r="F17" s="1"/>
    </row>
    <row r="18" spans="4:6" x14ac:dyDescent="0.3">
      <c r="D18" s="2"/>
      <c r="E18" s="4"/>
      <c r="F18" s="1"/>
    </row>
    <row r="19" spans="4:6" x14ac:dyDescent="0.3">
      <c r="F19" s="1"/>
    </row>
    <row r="20" spans="4:6" x14ac:dyDescent="0.3">
      <c r="F20" s="1"/>
    </row>
    <row r="21" spans="4:6" x14ac:dyDescent="0.3">
      <c r="F21" s="1"/>
    </row>
    <row r="22" spans="4:6" x14ac:dyDescent="0.3">
      <c r="F22" s="1"/>
    </row>
    <row r="23" spans="4:6" x14ac:dyDescent="0.3">
      <c r="F23" s="1"/>
    </row>
    <row r="24" spans="4:6" x14ac:dyDescent="0.3">
      <c r="F24" s="1"/>
    </row>
    <row r="25" spans="4:6" x14ac:dyDescent="0.3">
      <c r="F25" s="1"/>
    </row>
    <row r="26" spans="4:6" x14ac:dyDescent="0.3">
      <c r="F26" s="1"/>
    </row>
    <row r="27" spans="4:6" x14ac:dyDescent="0.3">
      <c r="F27" s="1"/>
    </row>
    <row r="28" spans="4:6" x14ac:dyDescent="0.3">
      <c r="F28" s="1"/>
    </row>
    <row r="29" spans="4:6" x14ac:dyDescent="0.3">
      <c r="F29" s="1"/>
    </row>
    <row r="30" spans="4:6" x14ac:dyDescent="0.3">
      <c r="F30" s="1"/>
    </row>
    <row r="31" spans="4:6" x14ac:dyDescent="0.3">
      <c r="F31" s="1"/>
    </row>
    <row r="32" spans="4:6" x14ac:dyDescent="0.3">
      <c r="F32" s="1"/>
    </row>
    <row r="33" spans="6:6" x14ac:dyDescent="0.3">
      <c r="F33" s="1"/>
    </row>
    <row r="34" spans="6:6" x14ac:dyDescent="0.3">
      <c r="F34" s="1"/>
    </row>
    <row r="35" spans="6:6" x14ac:dyDescent="0.3">
      <c r="F35" s="1"/>
    </row>
    <row r="36" spans="6:6" x14ac:dyDescent="0.3">
      <c r="F36" s="1"/>
    </row>
    <row r="37" spans="6:6" x14ac:dyDescent="0.3">
      <c r="F37" s="1"/>
    </row>
    <row r="38" spans="6:6" x14ac:dyDescent="0.3">
      <c r="F38" s="1"/>
    </row>
    <row r="39" spans="6:6" x14ac:dyDescent="0.3">
      <c r="F39" s="1"/>
    </row>
    <row r="40" spans="6:6" x14ac:dyDescent="0.3">
      <c r="F40" s="1"/>
    </row>
    <row r="41" spans="6:6" x14ac:dyDescent="0.3">
      <c r="F41" s="1"/>
    </row>
    <row r="42" spans="6:6" x14ac:dyDescent="0.3">
      <c r="F42" s="1"/>
    </row>
    <row r="43" spans="6:6" x14ac:dyDescent="0.3">
      <c r="F43" s="1"/>
    </row>
    <row r="44" spans="6:6" x14ac:dyDescent="0.3">
      <c r="F44" s="1"/>
    </row>
    <row r="45" spans="6:6" x14ac:dyDescent="0.3">
      <c r="F45" s="1"/>
    </row>
    <row r="46" spans="6:6" x14ac:dyDescent="0.3">
      <c r="F46" s="1"/>
    </row>
    <row r="47" spans="6:6" x14ac:dyDescent="0.3">
      <c r="F47" s="1"/>
    </row>
    <row r="48" spans="6:6" x14ac:dyDescent="0.3">
      <c r="F48" s="1"/>
    </row>
    <row r="49" spans="6:6" x14ac:dyDescent="0.3">
      <c r="F49" s="1"/>
    </row>
    <row r="50" spans="6:6" x14ac:dyDescent="0.3">
      <c r="F50" s="1"/>
    </row>
    <row r="51" spans="6:6" x14ac:dyDescent="0.3">
      <c r="F51" s="1"/>
    </row>
    <row r="52" spans="6:6" x14ac:dyDescent="0.3">
      <c r="F52" s="1"/>
    </row>
    <row r="53" spans="6:6" x14ac:dyDescent="0.3">
      <c r="F53" s="1"/>
    </row>
    <row r="54" spans="6:6" x14ac:dyDescent="0.3">
      <c r="F54" s="1"/>
    </row>
    <row r="55" spans="6:6" x14ac:dyDescent="0.3">
      <c r="F55" s="1"/>
    </row>
    <row r="56" spans="6:6" x14ac:dyDescent="0.3">
      <c r="F56" s="1"/>
    </row>
    <row r="57" spans="6:6" x14ac:dyDescent="0.3">
      <c r="F57" s="1"/>
    </row>
    <row r="58" spans="6:6" x14ac:dyDescent="0.3">
      <c r="F58" s="1"/>
    </row>
    <row r="59" spans="6:6" x14ac:dyDescent="0.3">
      <c r="F59" s="1"/>
    </row>
    <row r="60" spans="6:6" x14ac:dyDescent="0.3">
      <c r="F60" s="1"/>
    </row>
    <row r="61" spans="6:6" x14ac:dyDescent="0.3">
      <c r="F61" s="1"/>
    </row>
    <row r="62" spans="6:6" x14ac:dyDescent="0.3">
      <c r="F62" s="1"/>
    </row>
    <row r="63" spans="6:6" x14ac:dyDescent="0.3">
      <c r="F63" s="1"/>
    </row>
    <row r="64" spans="6:6" x14ac:dyDescent="0.3">
      <c r="F64" s="1"/>
    </row>
    <row r="65" spans="6:6" x14ac:dyDescent="0.3">
      <c r="F65" s="1"/>
    </row>
    <row r="66" spans="6:6" x14ac:dyDescent="0.3">
      <c r="F66" s="1"/>
    </row>
    <row r="67" spans="6:6" x14ac:dyDescent="0.3">
      <c r="F67" s="1"/>
    </row>
    <row r="68" spans="6:6" x14ac:dyDescent="0.3">
      <c r="F68" s="1"/>
    </row>
    <row r="69" spans="6:6" x14ac:dyDescent="0.3">
      <c r="F69" s="1"/>
    </row>
    <row r="70" spans="6:6" x14ac:dyDescent="0.3">
      <c r="F70" s="1"/>
    </row>
    <row r="71" spans="6:6" x14ac:dyDescent="0.3">
      <c r="F71" s="1"/>
    </row>
    <row r="72" spans="6:6" x14ac:dyDescent="0.3">
      <c r="F72" s="1"/>
    </row>
    <row r="73" spans="6:6" x14ac:dyDescent="0.3">
      <c r="F73" s="1"/>
    </row>
    <row r="74" spans="6:6" x14ac:dyDescent="0.3">
      <c r="F74" s="1"/>
    </row>
    <row r="75" spans="6:6" x14ac:dyDescent="0.3">
      <c r="F75" s="1"/>
    </row>
    <row r="76" spans="6:6" x14ac:dyDescent="0.3">
      <c r="F76" s="1"/>
    </row>
    <row r="77" spans="6:6" x14ac:dyDescent="0.3">
      <c r="F77" s="1"/>
    </row>
    <row r="78" spans="6:6" x14ac:dyDescent="0.3">
      <c r="F78" s="1"/>
    </row>
    <row r="79" spans="6:6" x14ac:dyDescent="0.3">
      <c r="F79" s="1"/>
    </row>
    <row r="80" spans="6:6" x14ac:dyDescent="0.3">
      <c r="F80" s="1"/>
    </row>
    <row r="81" spans="6:6" x14ac:dyDescent="0.3">
      <c r="F81" s="1"/>
    </row>
    <row r="82" spans="6:6" x14ac:dyDescent="0.3">
      <c r="F82" s="1"/>
    </row>
    <row r="83" spans="6:6" x14ac:dyDescent="0.3">
      <c r="F83" s="1"/>
    </row>
    <row r="84" spans="6:6" x14ac:dyDescent="0.3">
      <c r="F84" s="1"/>
    </row>
    <row r="85" spans="6:6" x14ac:dyDescent="0.3">
      <c r="F85" s="1"/>
    </row>
    <row r="86" spans="6:6" x14ac:dyDescent="0.3">
      <c r="F86" s="1"/>
    </row>
    <row r="87" spans="6:6" x14ac:dyDescent="0.3">
      <c r="F87" s="1"/>
    </row>
    <row r="88" spans="6:6" x14ac:dyDescent="0.3">
      <c r="F88" s="1"/>
    </row>
    <row r="89" spans="6:6" x14ac:dyDescent="0.3">
      <c r="F89" s="1"/>
    </row>
    <row r="90" spans="6:6" x14ac:dyDescent="0.3">
      <c r="F90" s="1"/>
    </row>
    <row r="91" spans="6:6" x14ac:dyDescent="0.3">
      <c r="F91" s="1"/>
    </row>
    <row r="92" spans="6:6" x14ac:dyDescent="0.3">
      <c r="F92" s="1"/>
    </row>
    <row r="93" spans="6:6" x14ac:dyDescent="0.3">
      <c r="F93" s="1"/>
    </row>
    <row r="94" spans="6:6" x14ac:dyDescent="0.3">
      <c r="F94" s="1"/>
    </row>
    <row r="95" spans="6:6" x14ac:dyDescent="0.3">
      <c r="F95" s="1"/>
    </row>
    <row r="96" spans="6:6" x14ac:dyDescent="0.3">
      <c r="F96" s="1"/>
    </row>
    <row r="97" spans="6:6" x14ac:dyDescent="0.3">
      <c r="F97" s="1"/>
    </row>
    <row r="98" spans="6:6" x14ac:dyDescent="0.3">
      <c r="F98" s="1"/>
    </row>
    <row r="99" spans="6:6" x14ac:dyDescent="0.3">
      <c r="F99" s="1"/>
    </row>
    <row r="100" spans="6:6" x14ac:dyDescent="0.3">
      <c r="F100" s="1"/>
    </row>
    <row r="101" spans="6:6" x14ac:dyDescent="0.3">
      <c r="F101" s="1"/>
    </row>
    <row r="102" spans="6:6" x14ac:dyDescent="0.3">
      <c r="F102" s="1"/>
    </row>
    <row r="103" spans="6:6" x14ac:dyDescent="0.3">
      <c r="F103" s="1"/>
    </row>
    <row r="104" spans="6:6" x14ac:dyDescent="0.3">
      <c r="F104" s="1"/>
    </row>
    <row r="105" spans="6:6" x14ac:dyDescent="0.3">
      <c r="F105" s="1"/>
    </row>
    <row r="106" spans="6:6" x14ac:dyDescent="0.3">
      <c r="F106" s="1"/>
    </row>
    <row r="107" spans="6:6" x14ac:dyDescent="0.3">
      <c r="F107" s="1"/>
    </row>
    <row r="108" spans="6:6" x14ac:dyDescent="0.3">
      <c r="F108" s="1"/>
    </row>
    <row r="109" spans="6:6" x14ac:dyDescent="0.3">
      <c r="F109" s="1"/>
    </row>
    <row r="110" spans="6:6" x14ac:dyDescent="0.3">
      <c r="F110" s="1"/>
    </row>
    <row r="111" spans="6:6" x14ac:dyDescent="0.3">
      <c r="F111" s="1"/>
    </row>
    <row r="112" spans="6:6" x14ac:dyDescent="0.3">
      <c r="F112" s="1"/>
    </row>
    <row r="113" spans="6:6" x14ac:dyDescent="0.3">
      <c r="F113" s="1"/>
    </row>
    <row r="114" spans="6:6" x14ac:dyDescent="0.3">
      <c r="F114" s="1"/>
    </row>
    <row r="115" spans="6:6" x14ac:dyDescent="0.3">
      <c r="F115" s="1"/>
    </row>
    <row r="116" spans="6:6" x14ac:dyDescent="0.3">
      <c r="F116" s="1"/>
    </row>
    <row r="117" spans="6:6" x14ac:dyDescent="0.3">
      <c r="F117" s="1"/>
    </row>
    <row r="118" spans="6:6" x14ac:dyDescent="0.3">
      <c r="F118" s="1"/>
    </row>
    <row r="119" spans="6:6" x14ac:dyDescent="0.3">
      <c r="F119" s="1"/>
    </row>
    <row r="120" spans="6:6" x14ac:dyDescent="0.3">
      <c r="F120" s="1"/>
    </row>
    <row r="121" spans="6:6" x14ac:dyDescent="0.3">
      <c r="F121" s="1"/>
    </row>
    <row r="122" spans="6:6" x14ac:dyDescent="0.3">
      <c r="F122" s="1"/>
    </row>
    <row r="123" spans="6:6" x14ac:dyDescent="0.3">
      <c r="F123" s="1"/>
    </row>
    <row r="124" spans="6:6" x14ac:dyDescent="0.3">
      <c r="F124" s="1"/>
    </row>
    <row r="125" spans="6:6" x14ac:dyDescent="0.3">
      <c r="F125" s="1"/>
    </row>
    <row r="126" spans="6:6" x14ac:dyDescent="0.3">
      <c r="F126" s="1"/>
    </row>
    <row r="127" spans="6:6" x14ac:dyDescent="0.3">
      <c r="F127" s="1"/>
    </row>
    <row r="128" spans="6:6" x14ac:dyDescent="0.3">
      <c r="F128" s="1"/>
    </row>
    <row r="129" spans="6:6" x14ac:dyDescent="0.3">
      <c r="F129" s="1"/>
    </row>
    <row r="130" spans="6:6" x14ac:dyDescent="0.3">
      <c r="F130" s="1"/>
    </row>
    <row r="131" spans="6:6" x14ac:dyDescent="0.3">
      <c r="F131" s="1"/>
    </row>
    <row r="132" spans="6:6" x14ac:dyDescent="0.3">
      <c r="F132" s="1"/>
    </row>
    <row r="133" spans="6:6" x14ac:dyDescent="0.3">
      <c r="F133" s="1"/>
    </row>
    <row r="134" spans="6:6" x14ac:dyDescent="0.3">
      <c r="F134" s="1"/>
    </row>
    <row r="135" spans="6:6" x14ac:dyDescent="0.3">
      <c r="F135" s="1"/>
    </row>
    <row r="136" spans="6:6" x14ac:dyDescent="0.3">
      <c r="F136" s="1"/>
    </row>
    <row r="137" spans="6:6" x14ac:dyDescent="0.3">
      <c r="F137" s="1"/>
    </row>
    <row r="138" spans="6:6" x14ac:dyDescent="0.3">
      <c r="F138" s="1"/>
    </row>
    <row r="139" spans="6:6" x14ac:dyDescent="0.3">
      <c r="F139" s="1"/>
    </row>
    <row r="140" spans="6:6" x14ac:dyDescent="0.3">
      <c r="F140" s="1"/>
    </row>
    <row r="141" spans="6:6" x14ac:dyDescent="0.3">
      <c r="F141" s="1"/>
    </row>
    <row r="142" spans="6:6" x14ac:dyDescent="0.3">
      <c r="F142" s="1"/>
    </row>
    <row r="143" spans="6:6" x14ac:dyDescent="0.3">
      <c r="F143" s="1"/>
    </row>
    <row r="144" spans="6:6" x14ac:dyDescent="0.3">
      <c r="F144" s="1"/>
    </row>
    <row r="145" spans="6:6" x14ac:dyDescent="0.3">
      <c r="F145" s="1"/>
    </row>
    <row r="146" spans="6:6" x14ac:dyDescent="0.3">
      <c r="F146" s="1"/>
    </row>
    <row r="147" spans="6:6" x14ac:dyDescent="0.3">
      <c r="F147" s="1"/>
    </row>
    <row r="148" spans="6:6" x14ac:dyDescent="0.3">
      <c r="F148" s="1"/>
    </row>
    <row r="149" spans="6:6" x14ac:dyDescent="0.3">
      <c r="F149" s="1"/>
    </row>
    <row r="150" spans="6:6" x14ac:dyDescent="0.3">
      <c r="F150" s="1"/>
    </row>
    <row r="151" spans="6:6" x14ac:dyDescent="0.3">
      <c r="F151" s="1"/>
    </row>
    <row r="152" spans="6:6" x14ac:dyDescent="0.3">
      <c r="F152" s="1"/>
    </row>
    <row r="153" spans="6:6" x14ac:dyDescent="0.3">
      <c r="F153" s="1"/>
    </row>
    <row r="154" spans="6:6" x14ac:dyDescent="0.3">
      <c r="F154" s="1"/>
    </row>
    <row r="155" spans="6:6" x14ac:dyDescent="0.3">
      <c r="F155" s="1"/>
    </row>
    <row r="156" spans="6:6" x14ac:dyDescent="0.3">
      <c r="F156" s="1"/>
    </row>
    <row r="157" spans="6:6" x14ac:dyDescent="0.3">
      <c r="F157" s="1"/>
    </row>
    <row r="158" spans="6:6" x14ac:dyDescent="0.3">
      <c r="F158" s="1"/>
    </row>
    <row r="159" spans="6:6" x14ac:dyDescent="0.3">
      <c r="F159" s="1"/>
    </row>
    <row r="160" spans="6:6" x14ac:dyDescent="0.3">
      <c r="F160" s="1"/>
    </row>
    <row r="161" spans="6:6" x14ac:dyDescent="0.3">
      <c r="F161" s="1"/>
    </row>
    <row r="162" spans="6:6" x14ac:dyDescent="0.3">
      <c r="F162" s="1"/>
    </row>
    <row r="163" spans="6:6" x14ac:dyDescent="0.3">
      <c r="F163" s="1"/>
    </row>
    <row r="164" spans="6:6" x14ac:dyDescent="0.3">
      <c r="F164" s="1"/>
    </row>
    <row r="165" spans="6:6" x14ac:dyDescent="0.3">
      <c r="F165" s="1"/>
    </row>
    <row r="166" spans="6:6" x14ac:dyDescent="0.3">
      <c r="F166" s="1"/>
    </row>
    <row r="167" spans="6:6" x14ac:dyDescent="0.3">
      <c r="F167" s="1"/>
    </row>
    <row r="168" spans="6:6" x14ac:dyDescent="0.3">
      <c r="F168" s="1"/>
    </row>
    <row r="169" spans="6:6" x14ac:dyDescent="0.3">
      <c r="F169" s="1"/>
    </row>
    <row r="170" spans="6:6" x14ac:dyDescent="0.3">
      <c r="F170" s="1"/>
    </row>
    <row r="171" spans="6:6" x14ac:dyDescent="0.3">
      <c r="F171" s="1"/>
    </row>
    <row r="172" spans="6:6" x14ac:dyDescent="0.3">
      <c r="F172" s="1"/>
    </row>
    <row r="173" spans="6:6" x14ac:dyDescent="0.3">
      <c r="F173" s="1"/>
    </row>
    <row r="174" spans="6:6" x14ac:dyDescent="0.3">
      <c r="F174" s="1"/>
    </row>
    <row r="175" spans="6:6" x14ac:dyDescent="0.3">
      <c r="F175" s="1"/>
    </row>
    <row r="176" spans="6:6" x14ac:dyDescent="0.3">
      <c r="F176" s="1"/>
    </row>
    <row r="177" spans="6:6" x14ac:dyDescent="0.3">
      <c r="F177" s="1"/>
    </row>
    <row r="178" spans="6:6" x14ac:dyDescent="0.3">
      <c r="F178" s="1"/>
    </row>
    <row r="179" spans="6:6" x14ac:dyDescent="0.3">
      <c r="F179" s="1"/>
    </row>
    <row r="180" spans="6:6" x14ac:dyDescent="0.3">
      <c r="F180" s="1"/>
    </row>
    <row r="181" spans="6:6" x14ac:dyDescent="0.3">
      <c r="F181" s="1"/>
    </row>
    <row r="182" spans="6:6" x14ac:dyDescent="0.3">
      <c r="F182" s="1"/>
    </row>
    <row r="183" spans="6:6" x14ac:dyDescent="0.3">
      <c r="F183" s="1"/>
    </row>
    <row r="184" spans="6:6" x14ac:dyDescent="0.3">
      <c r="F184" s="1"/>
    </row>
    <row r="185" spans="6:6" x14ac:dyDescent="0.3">
      <c r="F185" s="1"/>
    </row>
    <row r="186" spans="6:6" x14ac:dyDescent="0.3">
      <c r="F186" s="1"/>
    </row>
    <row r="187" spans="6:6" x14ac:dyDescent="0.3">
      <c r="F187" s="1"/>
    </row>
    <row r="188" spans="6:6" x14ac:dyDescent="0.3">
      <c r="F188" s="1"/>
    </row>
    <row r="189" spans="6:6" x14ac:dyDescent="0.3">
      <c r="F189" s="1"/>
    </row>
    <row r="190" spans="6:6" x14ac:dyDescent="0.3">
      <c r="F190" s="1"/>
    </row>
    <row r="191" spans="6:6" x14ac:dyDescent="0.3">
      <c r="F191" s="1"/>
    </row>
    <row r="192" spans="6:6" x14ac:dyDescent="0.3">
      <c r="F192" s="1"/>
    </row>
    <row r="193" spans="6:6" x14ac:dyDescent="0.3">
      <c r="F193" s="1"/>
    </row>
    <row r="194" spans="6:6" x14ac:dyDescent="0.3">
      <c r="F194" s="1"/>
    </row>
    <row r="195" spans="6:6" x14ac:dyDescent="0.3">
      <c r="F195" s="1"/>
    </row>
    <row r="196" spans="6:6" x14ac:dyDescent="0.3">
      <c r="F196" s="1"/>
    </row>
    <row r="197" spans="6:6" x14ac:dyDescent="0.3">
      <c r="F197" s="1"/>
    </row>
    <row r="198" spans="6:6" x14ac:dyDescent="0.3">
      <c r="F198" s="1"/>
    </row>
    <row r="199" spans="6:6" x14ac:dyDescent="0.3">
      <c r="F199" s="1"/>
    </row>
    <row r="200" spans="6:6" x14ac:dyDescent="0.3">
      <c r="F200" s="1"/>
    </row>
    <row r="201" spans="6:6" x14ac:dyDescent="0.3">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2025-09-14T13:44:37Z</dcterms:modified>
</cp:coreProperties>
</file>