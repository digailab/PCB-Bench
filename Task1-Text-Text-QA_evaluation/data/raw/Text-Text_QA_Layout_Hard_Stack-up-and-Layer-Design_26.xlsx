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49D70A4F-7242-431F-B1F0-04649D0E624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 i="1"/>
  <c r="E3" i="1"/>
  <c r="E4" i="1"/>
  <c r="E5" i="1"/>
  <c r="E6" i="1"/>
  <c r="E7" i="1"/>
  <c r="E8" i="1"/>
  <c r="E9" i="1"/>
  <c r="E10" i="1"/>
  <c r="E11" i="1"/>
  <c r="E12" i="1"/>
  <c r="E13" i="1"/>
  <c r="E14" i="1"/>
  <c r="E15" i="1"/>
  <c r="E16" i="1"/>
  <c r="E17" i="1"/>
  <c r="E18" i="1"/>
  <c r="E19" i="1"/>
  <c r="E20" i="1"/>
  <c r="E21" i="1"/>
  <c r="E22" i="1"/>
  <c r="E23" i="1"/>
  <c r="E24" i="1"/>
  <c r="E25" i="1"/>
  <c r="E26" i="1"/>
  <c r="E27" i="1"/>
  <c r="E2" i="1"/>
  <c r="J4" i="1"/>
  <c r="J16" i="1"/>
  <c r="J26" i="1"/>
  <c r="J5" i="1"/>
  <c r="J17" i="1"/>
  <c r="J14" i="1"/>
  <c r="J6" i="1"/>
  <c r="J18" i="1"/>
  <c r="J12" i="1"/>
  <c r="J7" i="1"/>
  <c r="J19" i="1"/>
  <c r="J22" i="1"/>
  <c r="J15" i="1"/>
  <c r="J8" i="1"/>
  <c r="J20" i="1"/>
  <c r="J24" i="1"/>
  <c r="J3" i="1"/>
  <c r="J9" i="1"/>
  <c r="J21" i="1"/>
  <c r="J23" i="1"/>
  <c r="J25" i="1"/>
  <c r="J10" i="1"/>
  <c r="J27" i="1"/>
  <c r="J11" i="1"/>
  <c r="J13" i="1"/>
  <c r="J2" i="1"/>
</calcChain>
</file>

<file path=xl/sharedStrings.xml><?xml version="1.0" encoding="utf-8"?>
<sst xmlns="http://schemas.openxmlformats.org/spreadsheetml/2006/main" count="165" uniqueCount="142">
  <si>
    <t>对于要求±0.5dB增益匹配的差分天线路径，应如何实现布线对称性？</t>
  </si>
  <si>
    <t>采用镜像布局与走线，控制走线路径、电气长度与周围环境完全对称。</t>
  </si>
  <si>
    <t>对于要求±0.5dB增益匹配的差分天线路径，应如何实现布线对称性？
A. 采用交错布线方式并优化地平面连接路径  
B. 使用等长路径布线但允许不同层穿越方式  
C. 使用镜像布局与走线，确保电气环境对称  
D. 通过分离走线通道来降低耦合干扰风险  
E. 以上选项都不正确</t>
  </si>
  <si>
    <t>C</t>
  </si>
  <si>
    <t>How to achieve routing symmetry for differential antenna paths requiring ±0.5dB gain match?</t>
  </si>
  <si>
    <t>Use mirrored layout and traces, ensuring identical routing paths, electrical lengths, and surrounding environment.</t>
  </si>
  <si>
    <t>在多层柔性PCB中，如何布局以减少动态弯折对高速信号完整性的影响？</t>
  </si>
  <si>
    <t>应沿主弯折方向布线，避免90°转折，并将信号层置于中间层降低应力影响。</t>
  </si>
  <si>
    <t>在多层柔性PCB中，如何布局以减少动态弯折对高速信号完整性的影响？
A. 将高速信号布置在外层，方便监测与调整  
B. 沿主弯折方向布线，避免急转弯与应力集中  
C. 使用加宽铜线减少电阻，但允许路径交叉布线  
D. 保持走线短路径且均匀分布于多个柔性区段  
E. 以上选项都不正确</t>
  </si>
  <si>
    <t>B</t>
  </si>
  <si>
    <t>How to layout multi-layer flex PCBs to reduce bending impact on signal integrity?</t>
  </si>
  <si>
    <t>Route along the main bending axis, avoid 90° turns, and place signal layers in the middle.</t>
  </si>
  <si>
    <t>在多层带磁屏蔽结构的模块中如何布局内部信号层以减少涡流影响？</t>
  </si>
  <si>
    <t>应使用中间层走线并交错层间布线方向，避免闭合回路与金属共振结构。</t>
  </si>
  <si>
    <t>在多层带磁屏蔽结构的模块中如何布局内部信号层以减少涡流影响？
A. 尽量靠近屏蔽层布线，增强电磁约束效果  
B. 避免层间切换，保持单层连续走线完整性  
C. 使用中间层走线并交错层间方向避免闭环  
D. 将信号线与电源线靠近布置，统一接地回流  
E. 以上选项都不正确</t>
  </si>
  <si>
    <t>How to route signal layers in multilayer magnetically shielded modules to reduce eddy currents?</t>
  </si>
  <si>
    <t>Use internal layers, alternate routing directions, and avoid looped or resonant metal geometries.</t>
  </si>
  <si>
    <t>在存在高压马达驱动和低压传感采集的系统中，应如何进行层间布局以抑制耦合？</t>
  </si>
  <si>
    <t>应将高压驱动走线置于靠外层，并通过地层将内层模拟信号完全隔离，同时限制耦合路径长度。</t>
  </si>
  <si>
    <t>在存在高压马达驱动和低压传感采集的系统中，应如何进行层间布局以抑制耦合？
A. 将高压驱动与低压信号并排布线，并统一接地层避免浮地  
B. 将高压驱动信号布于内层，低压采集放于外层以缩短路径  
C. 将高压走线靠外层布置，内层模拟信号通过地层完全隔离  
D. 将模拟与数字信号混合布线，并通过厚铜层降低阻抗干扰  
E. 以上选项都不正确</t>
  </si>
  <si>
    <t>How to layout layers in systems with HV motor drivers and low-voltage sensors to reduce coupling?</t>
  </si>
  <si>
    <t>Route HV signals on outer layers, isolate inner analog signals with ground layers, and minimize coupling path lengths.</t>
  </si>
  <si>
    <t>在多层柔性刚性混合板中，如何布局以避免机械应力集中导致微裂纹？</t>
  </si>
  <si>
    <t>应在刚柔结合区使用扇出结构过渡，避免在边界处放置过孔与敏感元件。</t>
  </si>
  <si>
    <t>在存在高压马达驱动和低压传感采集的系统中，应如何进行层间布局以抑制耦合？
A. 将高压走线靠外层布置，内层模拟信号通过地层完全隔离  
B. 将高压驱动信号布于内层，低压采集放于外层以缩短路径  
C. 将高压与低压线路相邻布线，通过厚地层连接屏蔽干扰  
D. 将信号线全部布于中间层，利用外层电源层构成对称结构  
E. 以上选项都不正确</t>
  </si>
  <si>
    <t>A</t>
  </si>
  <si>
    <t>In rigid-flex multilayer PCBs, how to layout to avoid stress concentration and microcracks?</t>
  </si>
  <si>
    <t>Use fan-out transitions at flex-rigid boundaries, and avoid vias or sensitive components near interface zones.</t>
  </si>
  <si>
    <t>在AI音频边缘处理器中，如何布局麦克风阵列与声源隔离层以减少回响干扰？</t>
  </si>
  <si>
    <t>应将麦克风远离扬声器布置，并设置物理吸声结构与地铜反射屏蔽层。</t>
  </si>
  <si>
    <t>在多层柔性刚性混合板中，如何布局以避免机械应力集中导致微裂纹？
A. 在柔性区使用对称走线结构，并加密接地网格分散应力  
B. 在刚柔结合区使用扇出结构过渡，避免过孔与元件叠加  
C. 在柔性区集中布置主控元件，减小布线跨区长度  
D. 在连接区域使用连续盲孔提升结构强度与热稳定性  
E. 以上选项都不正确</t>
  </si>
  <si>
    <t>In AI audio edge processors, how to layout microphone arrays and acoustic isolation to reduce echo interference?</t>
  </si>
  <si>
    <t>Place microphones away from speakers, and add physical acoustic barriers and ground-backed reflective shielding layers.</t>
  </si>
  <si>
    <t>在同时支持双路USB与HDMI输出的多媒体板卡中，如何布局差分信号线与耦合参考层？</t>
  </si>
  <si>
    <t>应将HDMI与USB差分对分层布置，控制阻抗连续性并避免交叉耦合路径。</t>
  </si>
  <si>
    <t>在同时支持双路USB与HDMI输出的多媒体板卡中，如何布局差分信号线与耦合参考层？
A. HDMI与USB差分线分层布置，确保阻抗连续并防止交叉耦合  
B. 所有差分对集中在同一层，简化回流路径并共享参考层  
C. USB差分对靠近HDMI布线区布局以减少信号干扰路径  
D. 将参考地层置于顶层，通过下层走线减少耦合问题  
E. 以上选项都不正确</t>
  </si>
  <si>
    <t>In multimedia boards with USB and HDMI, how to layout differential pairs and coupling references?</t>
  </si>
  <si>
    <t>Place USB and HDMI on separate layers, maintain impedance continuity, and prevent signal crossover.</t>
  </si>
  <si>
    <t>在带多层信号转接连接器的模块化总线系统中，如何布局上下引脚通道与滤波元件？</t>
  </si>
  <si>
    <t>应将上下通道布线交错分层，滤波电容靠近通道汇聚点布置并加地通孔墙。</t>
  </si>
  <si>
    <t>在带多层信号转接连接器的模块化总线系统中，如何布局上下引脚通道与滤波元件？
A. 上下通道平行布线，滤波元件集中放置于电源入口处  
B. 上下通道交错分层布线，滤波电容靠近汇聚点并加地通孔墙  
C. 所有通道引脚布于同一层以降低插损，滤波器靠近主控芯片  
D. 使用菊花链结构连接上下通道，通过集中接地屏蔽干扰  
E. 以上选项都不正确</t>
  </si>
  <si>
    <t>In multi-layer connector bus systems, how to layout vertical channels and filters?</t>
  </si>
  <si>
    <t>Stagger vertical channels across layers, place capacitors at convergence, and surround with ground via fences.</t>
  </si>
  <si>
    <t>在使用微型板对板连接器的嵌入式子板系统中，如何布局关键信号线与走线方向？</t>
  </si>
  <si>
    <t>应将关键高速信号靠近连接器走线，层间信号方向正交布置，避免90°转折。</t>
  </si>
  <si>
    <t>在使用微型板对板连接器的嵌入式子板系统中，如何布局关键信号线与走线方向？
A. 将高速信号靠近连接器布线，层间方向正交避免转折耦合  
B. 关键信号布于底层以降低干扰，并在中层集中加滤波电容  
C. 所有信号走线走同向以提升布线一致性，连接器采用上下布置  
D. 使用蛇形走线延长高速路径，增强容差匹配效果  
E. 以上选项都不正确</t>
  </si>
  <si>
    <t>In embedded boards with board-to-board connectors, how to layout critical signals and layer routing?</t>
  </si>
  <si>
    <t>Route key signals near connectors, apply orthogonal routing across layers, and avoid 90° bends.</t>
  </si>
  <si>
    <t>在具有多模网关能力的车载控制器中，如何布局LIN、CAN、以太网物理层以避免互扰？</t>
  </si>
  <si>
    <t>应将各通信协议接口分区布置，信号线远离并加屏蔽地线，每种PHY靠近其接口器件布置。</t>
  </si>
  <si>
    <t>在具有多模网关能力的车载控制器中，如何布局LIN、CAN、以太网物理层以避免互扰？
A. 各通信协议接口分区布置，信号线远离并加屏蔽地线  
B. LIN与CAN共地布局提高兼容性，PHY集中靠近主控芯片  
C. PHY元件布于底层统一区域，通过顶层走线跨接信号  
D. 各总线接口交错走线并与电源平面对称分布  
E. 以上选项都不正确</t>
  </si>
  <si>
    <t>In automotive gateway controllers, how to layout LIN, CAN, and Ethernet PHYs to avoid interference?</t>
  </si>
  <si>
    <t>Partition protocol interfaces, shield signal paths, and place PHYs near corresponding connectors.</t>
  </si>
  <si>
    <t>在面向神经信号采集的脑电前端板中，如何布局电极输入、放大器与噪声屏蔽层？</t>
  </si>
  <si>
    <t>应将电极信号线远离数字区布线，放大器贴近输入端布置，并设置接地环绕的屏蔽层。</t>
  </si>
  <si>
    <t>在面向神经信号采集的脑电前端板中，如何布局电极输入、放大器与噪声屏蔽层？
A. 放大器布于板中心，电极输入延长走线集中连接  
B. 电极线靠近数字处理区布线，统一屏蔽层位于底层  
C. 电极信号远离数字区，放大器贴近输入并加接地屏蔽  
D. 屏蔽层下移至电源层，与放大器共享回流路径  
E. 以上选项都不正确</t>
  </si>
  <si>
    <t>In EEG front-end PCBs, how to layout electrodes, amplifiers, and shielding?</t>
  </si>
  <si>
    <t>Keep electrode traces away from digital zones, place amps near inputs, and add grounded shielding layers.</t>
  </si>
  <si>
    <t>在具有电容式触控屏与电磁屏蔽层的HMI控制板中，如何布置信号走线与屏蔽层以避免误触？</t>
  </si>
  <si>
    <t>应将触控信号远离屏蔽层边缘布线，使用接地多孔结构稳定参考层。</t>
  </si>
  <si>
    <t>在具有电容式触控屏与电磁屏蔽层的HMI控制板中，如何布置信号走线与屏蔽层以避免误触？
A. 触控信号线紧贴屏蔽层边缘布线，以提高响应灵敏度  
B. 使用顶层走线靠近面板边缘，屏蔽层悬空防止感应干扰  
C. 触控信号远离屏蔽层边缘布线，接地多孔结构稳定层间耦合  
D. 屏蔽层与触控线重叠布置，通过厚介质层阻断耦合  
E. 以上选项都不正确</t>
  </si>
  <si>
    <t>In HMI boards with capacitive touch and shielding, how to layout signals and shields to prevent false touches?</t>
  </si>
  <si>
    <t>Keep touch traces away from shield edges, and stabilize ground plane with dense via stitching.</t>
  </si>
  <si>
    <t>在具有集成隔离CAN模块的工业控制器中，如何布局隔离接口芯片、收发器与参考接地层？</t>
  </si>
  <si>
    <t>应将隔离芯片与收发器同侧布置，数字与CAN地严格分区，保持接地参考连续。</t>
  </si>
  <si>
    <t>在具有集成隔离CAN模块的工业控制器中，如何布局隔离接口芯片、收发器与参考接地层？
A. 隔离芯片与收发器同侧布置，数字与CAN地严格分区并保持连续参考  
B. 隔离与非隔离元件交叉布置，使用统一接地以简化布线  
C. 接口芯片集中布于主控附近，参考地通过接地桥统一连接  
D. 将CAN收发器放置于数字区域，隔离层靠近电源输入端  
E. 以上选项都不正确</t>
  </si>
  <si>
    <t>In controllers with isolated CAN, how to layout isolators, transceivers, and ground domains?</t>
  </si>
  <si>
    <t>Co-locate isolators and CAN transceivers, split digital and CAN grounds, and maintain ground continuity.</t>
  </si>
  <si>
    <t>在多路温度通道采集板中，如何布局热电偶放大器、冷端补偿与屏蔽层以减少测量误差？</t>
  </si>
  <si>
    <t>应将放大器靠近热电偶端布置，冷端补偿传感器紧邻放大器放置，并使用接地铜皮屏蔽敏感走线。</t>
  </si>
  <si>
    <t>在多路温度通道采集板中，如何布局热电偶放大器、冷端补偿与屏蔽层以减少测量误差？
A. 冷端补偿传感器集中布置于板边，放大器位于主控芯片周围  
B. 放大器靠近热电偶端布置，补偿传感器紧邻放大器并屏蔽关键走线  
C. 所有敏感信号统一布于底层，通过电源层构成屏蔽路径  
D. 屏蔽层布于数字区上方，热端和冷端信号交叉布线连接  
E. 以上选项都不正确</t>
  </si>
  <si>
    <t>In multi-channel temperature acquisition boards, how to layout thermocouple amps, cold-junction sensors, and shielding?</t>
  </si>
  <si>
    <t>Place amps near thermocouple inputs, place cold junction sensors close to amps, and shield traces with ground planes.</t>
  </si>
  <si>
    <t>在混合激光+红外测距模组中，如何布局红外探测器、激光源与环境干扰屏蔽层？</t>
  </si>
  <si>
    <t>应将红外与激光源交错布置，中间加金属地屏蔽，模拟信号单独分层走线。</t>
  </si>
  <si>
    <t>在混合激光+红外测距模组中，如何布局红外探测器、激光源与环境干扰屏蔽层？
A. 红外与激光源并排布置，统一信号层增强同步精度  
B. 红外与激光源交错布置，中间加金属屏蔽，模拟信号分层布线  
C. 激光发射器贴近电源区布置，红外接收器置于其正下方  
D. 所有传感组件布于同一区域，通过厚介质层进行空间隔离  
E. 以上选项都不正确</t>
  </si>
  <si>
    <t>In hybrid IR + laser rangefinders, how to layout detectors, lasers, and shielding?</t>
  </si>
  <si>
    <t>Interleave IR and laser sources, add metal ground shielding, and separate analog signal layers.</t>
  </si>
  <si>
    <t>在带有车规以太网接口的嵌入式板卡中，如何布局PHY芯片、EMI滤波器与屏蔽层连接？</t>
  </si>
  <si>
    <t>应将PHY靠近RJ45接口布置，滤波器串联在接收路径中，屏蔽层接地铜皮完整覆盖传输区域。</t>
  </si>
  <si>
    <t xml:space="preserve">在带有车规以太网接口的嵌入式板卡中，如何布局PHY芯片、EMI滤波器与屏蔽层连接？
A. PHY靠近RJ45接口布置，滤波器串联于接收路径，屏蔽层接地铜皮完整覆盖  
B. EMI滤波器布于电源侧，PHY芯片集中放置于主控附近  
C. 屏蔽层连接于信号参考层，PHY与RJ45之间保留过渡缓冲区  
D. PHY远离接口布置以优化热扩散路径，滤波器并联于信号线  
E. 以上选项都不正确 </t>
  </si>
  <si>
    <t>In automotive Ethernet boards, how to layout PHY, EMI filters, and shield connections?</t>
  </si>
  <si>
    <t>Place PHY near RJ45, insert EMI filters in RX path, and ground shields over transmission area.</t>
  </si>
  <si>
    <t>在基于激光测距模块的避障系统中，如何布局激光发射控制、回波采集与干扰屏蔽层？</t>
  </si>
  <si>
    <t>应将激光驱动与采集布置于同层近邻，屏蔽层包围采集路径并单点接地。</t>
  </si>
  <si>
    <t>在基于激光测距模块的避障系统中，如何布局激光发射控制、回波采集与干扰屏蔽层？
A. 发射与采集模块对称布置于上下层，通过地层提供公共参考  
B. 激光驱动与采集单元分区布局，屏蔽层使用多点接地连接  
C. 激光驱动与采集近邻同层布置，屏蔽层环绕采集路径并单点接地  
D. 回波路径使用蛇形走线调节时序，屏蔽结构设于底层边缘  
E. 以上选项都不正确</t>
  </si>
  <si>
    <t>In laser-ranging obstacle sensors, how to layout TX control, echo sampling, and shielding?</t>
  </si>
  <si>
    <t>Keep TX and RX on same layer close together, surround RX with shielding tied at single point.</t>
  </si>
  <si>
    <t>在多层板设计中如何优化ESD保护器件的布局以提升抗干扰能力？</t>
  </si>
  <si>
    <t>应将ESD保护器件靠近接口端口布置，走线尽量短直，并配合接地铜皮形成低阻回流路径。</t>
  </si>
  <si>
    <t>在多层板设计中如何优化ESD保护器件的布局以提升抗干扰能力？
A. ESD器件布于靠近主芯片位置，走线加长以隔离干扰源  
B. ESD器件靠近接口布置，走线短直，辅以接地铜皮构建低阻通道  
C. ESD保护电路与信号路径交叉布线，并分层接地以提升通用性  
D. 所有ESD元件布于统一区域，靠近电源区集中布局  
E. 以上选项都不正确</t>
  </si>
  <si>
    <t>In multilayer boards, how to place ESD parts for better immunity?</t>
  </si>
  <si>
    <t>Place near I/O, short trace, GND copper for return.</t>
  </si>
  <si>
    <t>在带有CAN-FD和LIN总线的多接口诊断模块中，如何布局物理层芯片、保护电路与MCU连接口？</t>
  </si>
  <si>
    <t>物理层芯片靠近接口布置，TVS与电阻保护并联放置，MCU连接处走线保持阻抗匹配。</t>
  </si>
  <si>
    <t>在带有CAN-FD和LIN总线的多接口诊断模块中，如何布局物理层芯片、保护电路与MCU连接口？
A. 物理层芯片靠近接口布置，TVS与电阻保护并联，MCU连接处阻抗匹配  
B. MCU侧布置物理层芯片，TVS保护电路集中于供电模块旁  
C. 所有接口器件布于主控附近，保护元件与信号线串联连接  
D. 物理层芯片与MCU对角布置，保护器件置于板中部缓冲干扰  
E. 以上选项都不正确</t>
  </si>
  <si>
    <t>In CAN-FD/LIN diagnostic modules, how to layout transceivers, protection, and MCU IO?</t>
  </si>
  <si>
    <t>Transceivers near ports, protection in parallel, MCU IO matched.</t>
  </si>
  <si>
    <t>在具备中继中转功能的无线中继节点中，如何布局中继收发器、切换控制与信道隔离层？</t>
  </si>
  <si>
    <t>收发器靠两侧天线接口布置，控制模块居中处理上下行通道，隔离层在射频路径之间提供地参考。</t>
  </si>
  <si>
    <t>在具备中继中转功能的无线中继节点中，如何布局中继收发器、切换控制与信道隔离层？
A. 中继收发器靠近电源布置，控制模块布于板边防止干扰  
B. 收发器靠两侧天线接口布置，控制模块居中，隔离层用于信道地参考  
C. 所有射频通道集中走线布于顶层，控制模块位于下层提升可靠性  
D. 切换控制与收发器并排布置，天线信号线交错穿越屏蔽区域  
E. 以上选项都不正确</t>
  </si>
  <si>
    <t>In wireless relays, how to layout transceivers, controller, and isolation layer?</t>
  </si>
  <si>
    <t>Transceivers near antennas, control in center, GND layer between RF paths.</t>
  </si>
  <si>
    <t>在多层射频前端模块中，如何布局上下天线、低噪放大器与射频开关阵列？</t>
  </si>
  <si>
    <t>上下天线分层对称布置，LNA紧邻天线端口，射频开关置于中间用于通道切换。</t>
  </si>
  <si>
    <t>在多层射频前端模块中，如何布局上下天线、低噪放大器与射频开关阵列？
A. 上下天线对称布线，LNA靠近接口区，射频开关布于信号末端  
B. 天线与LNA布于不同层，射频开关靠近MCU统一控制  
C. 上下天线分层布置，LNA紧邻天线端口，射频开关置于中间切换通道  
D. 所有器件集中布于主控旁以简化走线路径和电源供给  
E. 以上选项都不正确</t>
  </si>
  <si>
    <t>In RF front-ends, how to layout dual antennas, LNA, and RF switch array?</t>
  </si>
  <si>
    <t>Antennas layered, LNA near port, switches centered for routing.</t>
  </si>
  <si>
    <t>在用于高压绝缘监测的多通道采样系统中，如何布局采样接口、电气隔离层与数据处理器？</t>
  </si>
  <si>
    <t>采样接口分区靠近监测点布置，隔离器件嵌于模拟与数字区域之间，处理器位于中央。</t>
  </si>
  <si>
    <t>在用于高压绝缘监测的多通道采样系统中，如何布局采样接口、电气隔离层与数据处理器？
A. 采样接口分区靠近监测点布置，隔离器件位于模拟与数字区域之间，处理器居中放置  
B. 将所有采样通道统一引出至中心区域，通过电源层进行交叉隔离以减少模块干扰  
C. 在每个通道旁配置小型隔离器件并通过冗余布线连接至外围控制器区块  
D. 处理器布置于高压接口端，与隔离通道并行布置以实现集中式控制逻辑  
E. 以上选项都不正确</t>
  </si>
  <si>
    <t>In HV insulation monitors, how to layout input, isolation, and processor?</t>
  </si>
  <si>
    <t>Inputs near probes, isolators between domains, processor central.</t>
  </si>
  <si>
    <t>在海洋环境传感平台中，如何布局防水连接器、电化学传感器与屏蔽层？</t>
  </si>
  <si>
    <t>连接器靠边缘封装区域布置，传感器布于开孔区域，屏蔽层包围敏感路径。</t>
  </si>
  <si>
    <t>在海洋环境传感平台中，如何布局防水连接器、电化学传感器与屏蔽层？
A. 连接器靠边缘封装区域布置，传感器布于开孔区域，屏蔽层包围敏感路径  
B. 所有防水连接器和传感器集中于中央区域，通过等距排布方式均衡热应力并统一屏蔽处理  
C. 连接器与电化学传感器分布于板两侧，通过双重密封结构连接至屏蔽外壳以增强可靠性  
D. 传感器布于接口中间区域并加防腐层，屏蔽结构使用多层包裹策略覆盖整个线路段  
E. 以上选项都不正确</t>
  </si>
  <si>
    <t>In marine sensor boards, how to layout waterproof connectors, sensors, and shielding?</t>
  </si>
  <si>
    <t>Connectors at edge, sensors at openings, shielding around sensitive lines.</t>
  </si>
  <si>
    <t>在带有共封装光模块（CPO）的高速通信板中，如何布局电-光转换器、微光引擎与EMI隔离层？</t>
  </si>
  <si>
    <t>电光转换芯片紧邻SerDes布置，微光引擎贴近转接接口，EMI层包覆整个传输区段。</t>
  </si>
  <si>
    <t>在带有共封装光模块（CPO）的高速通信板中，如何布局电-光转换器、微光引擎与EMI隔离层？
A. 电光转换芯片紧邻SerDes布置，微光引擎贴近转接接口，EMI层包覆传输区  
B. 微光引擎与数据控制逻辑集成在顶层模块内，并通过光波导耦合至远端传输接口以减小损耗  
C. 将电光转换器布于板边，与连接器呈斜角分布，同时在下方布置大面积铜层抑制串扰  
D. 所有光学模块统一置于信号对称中心，使用双向多点接地结构对EMI路径进行阻断  
E. 以上选项都不正确</t>
  </si>
  <si>
    <t>In CPO communication boards, how to layout E-O converters, micro-optics, and EMI layers?</t>
  </si>
  <si>
    <t>Place E-O chips near SerDes, optics near connector, EMI layer over entire link.</t>
  </si>
  <si>
    <t>在PCB嵌入式无源器件设计中，如何布局埋容埋感区域、信号线耦合与叠层结构？</t>
  </si>
  <si>
    <t>埋容/埋感区域放于中间层，信号线保持垂直方向走线，叠层设计确保耦合稳定性。</t>
  </si>
  <si>
    <t>在PCB嵌入式无源器件设计中，如何布局埋容埋感区域、信号线耦合与叠层结构？
A. 所有无源器件分布于外围通道之间，并在不同层交错布置以形成可调谐耦合结构  
B. 埋容/埋感区域放于中间层，信号线保持垂直方向走线，叠层设计确保耦合稳定性  
C. 通过对称铺铜层形成等效电容网络，信号线走线方向随器件布局自由调整  
D. 将埋容与埋感器件布于靠近表层区域，并通过多层交错走线增强信号调制能力  
E. 以上选项都不正确</t>
  </si>
  <si>
    <t>In embedded passive PCBs, how to layout embedded caps/inductors, signal coupling, and stackup?</t>
  </si>
  <si>
    <t>Embed passives in inner layers, route signals orthogonally, stackup ensures stable coupling.</t>
  </si>
  <si>
    <t>在集成触控显示与近距传感器的HMI板中，如何布局触控驱动、感应层与EMC防护结构？</t>
  </si>
  <si>
    <t>触控驱动贴近FPC连接器，感应层对称分布，EMC结构包围信号区防止外泄。</t>
  </si>
  <si>
    <t>在集成触控显示与近距传感器的HMI板中，如何布局触控驱动、感应层与EMC防护结构？
A. 驱动信号分层交错布线，感应区覆盖整个显示模组区域，并在边缘设置间歇接地屏蔽  
B. 感应层集中于中间区域，EMC结构采用非对称接地方式包覆外围并附加抗扰电容阵列  
C. 触控驱动贴近FPC连接器，感应层对称分布，EMC结构包围信号区防止外泄  
D. 触控驱动与显示控制统一布线至处理器，EMC结构选用通孔阵列方式连接至每层接地  
E. 以上选项都不正确</t>
  </si>
  <si>
    <t>In HMI boards with touch and proximity, how to layout driver, sensor, and EMC structures?</t>
  </si>
  <si>
    <t>Driver near FPC, sensors symmetric, EMC surrounds signal region.</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</si>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</sst>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horizontal="center" vertical="center"/>
    </xf>
    <xf numFmtId="0" fontId="2"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8" workbookViewId="0">
      <selection activeCell="J1" sqref="J1"/>
    </sheetView>
  </sheetViews>
  <sheetFormatPr defaultColWidth="14" defaultRowHeight="13" x14ac:dyDescent="0.3"/>
  <cols>
    <col min="1" max="1" width="8" customWidth="1"/>
    <col min="2" max="2" width="73" customWidth="1"/>
    <col min="3" max="3" width="72" customWidth="1"/>
    <col min="4" max="5" width="101" customWidth="1"/>
    <col min="6" max="6" width="10.81640625" customWidth="1"/>
    <col min="7" max="8" width="101" customWidth="1"/>
    <col min="9" max="9" width="96" customWidth="1"/>
  </cols>
  <sheetData>
    <row r="1" spans="1:10" x14ac:dyDescent="0.3">
      <c r="A1" t="s">
        <v>133</v>
      </c>
      <c r="B1" t="s">
        <v>134</v>
      </c>
      <c r="C1" t="s">
        <v>135</v>
      </c>
      <c r="D1" t="s">
        <v>136</v>
      </c>
      <c r="F1" t="s">
        <v>137</v>
      </c>
      <c r="G1" t="s">
        <v>138</v>
      </c>
      <c r="H1" t="s">
        <v>139</v>
      </c>
      <c r="I1" t="s">
        <v>140</v>
      </c>
      <c r="J1" t="s">
        <v>141</v>
      </c>
    </row>
    <row r="2" spans="1:10" ht="13.5" x14ac:dyDescent="0.3">
      <c r="A2" s="1">
        <v>1</v>
      </c>
      <c r="B2" s="2" t="s">
        <v>0</v>
      </c>
      <c r="C2" s="2" t="s">
        <v>1</v>
      </c>
      <c r="D2" s="2" t="s">
        <v>2</v>
      </c>
      <c r="E2" s="4" t="str">
        <f>RIGHT(D2, LEN(D2) - FIND("？", D2))</f>
        <v xml:space="preserve">
A. 采用交错布线方式并优化地平面连接路径  
B. 使用等长路径布线但允许不同层穿越方式  
C. 使用镜像布局与走线，确保电气环境对称  
D. 通过分离走线通道来降低耦合干扰风险  
E. 以上选项都不正确</v>
      </c>
      <c r="F2" s="3" t="s">
        <v>3</v>
      </c>
      <c r="G2" s="2" t="s">
        <v>4</v>
      </c>
      <c r="H2" s="4" t="str">
        <f>G2</f>
        <v>How to achieve routing symmetry for differential antenna paths requiring ±0.5dB gain match?</v>
      </c>
      <c r="I2" s="2" t="s">
        <v>5</v>
      </c>
      <c r="J2" t="str">
        <f>_xlfn.TRANSLATE(E2,"zh-chs","en")</f>
        <v xml:space="preserve">
A. Staggered wiring is adopted and the ground plane connection path is optimized  
B. Use equimetric path routing but allow different layer traversal methods  
C. Use mirrored layouts and traces to ensure symmetry in the electrical environment  
D. Reduce the risk of coupling interference by separating trace channels  
E. None of the above options are correct</v>
      </c>
    </row>
    <row r="3" spans="1:10" ht="13.5" x14ac:dyDescent="0.3">
      <c r="A3" s="1">
        <v>2</v>
      </c>
      <c r="B3" s="2" t="s">
        <v>6</v>
      </c>
      <c r="C3" s="2" t="s">
        <v>7</v>
      </c>
      <c r="D3" s="2" t="s">
        <v>8</v>
      </c>
      <c r="E3" s="4" t="str">
        <f t="shared" ref="E3:E27" si="0">RIGHT(D3, LEN(D3) - FIND("？", D3))</f>
        <v xml:space="preserve">
A. 将高速信号布置在外层，方便监测与调整  
B. 沿主弯折方向布线，避免急转弯与应力集中  
C. 使用加宽铜线减少电阻，但允许路径交叉布线  
D. 保持走线短路径且均匀分布于多个柔性区段  
E. 以上选项都不正确</v>
      </c>
      <c r="F3" s="3" t="s">
        <v>9</v>
      </c>
      <c r="G3" s="2" t="s">
        <v>10</v>
      </c>
      <c r="H3" s="4" t="str">
        <f t="shared" ref="H3:H27" si="1">G3</f>
        <v>How to layout multi-layer flex PCBs to reduce bending impact on signal integrity?</v>
      </c>
      <c r="I3" s="2" t="s">
        <v>11</v>
      </c>
      <c r="J3" t="str">
        <f t="shared" ref="J3:J27" si="2">_xlfn.TRANSLATE(E3,"zh-chs","en")</f>
        <v xml:space="preserve">
A. Arrange the high-speed signal on the outer layer to facilitate monitoring and adjustment  
B. Route along the main bend direction to avoid sharp turns and stress concentration  
C. Use widened copper wire to reduce resistance, but allow path cross-routing  
D. Keep the traces short and evenly distributed across multiple flexible sections  
E. None of the above options are correct</v>
      </c>
    </row>
    <row r="4" spans="1:10" ht="13.5" x14ac:dyDescent="0.3">
      <c r="A4" s="1">
        <v>3</v>
      </c>
      <c r="B4" s="2" t="s">
        <v>12</v>
      </c>
      <c r="C4" s="2" t="s">
        <v>13</v>
      </c>
      <c r="D4" s="2" t="s">
        <v>14</v>
      </c>
      <c r="E4" s="4" t="str">
        <f t="shared" si="0"/>
        <v xml:space="preserve">
A. 尽量靠近屏蔽层布线，增强电磁约束效果  
B. 避免层间切换，保持单层连续走线完整性  
C. 使用中间层走线并交错层间方向避免闭环  
D. 将信号线与电源线靠近布置，统一接地回流  
E. 以上选项都不正确</v>
      </c>
      <c r="F4" s="3" t="s">
        <v>3</v>
      </c>
      <c r="G4" s="2" t="s">
        <v>15</v>
      </c>
      <c r="H4" s="4" t="str">
        <f t="shared" si="1"/>
        <v>How to route signal layers in multilayer magnetically shielded modules to reduce eddy currents?</v>
      </c>
      <c r="I4" s="2" t="s">
        <v>16</v>
      </c>
      <c r="J4" t="str">
        <f t="shared" si="2"/>
        <v xml:space="preserve">
A. Wire as close as possible to the shield layer to enhance the electromagnetic restraint effect  
B. Avoid switching between layers and maintain the integrity of a single layer of continuous traces  
C. Use interlayer traces and staggered interlayer orientation to avoid closed loops  
D. Arrange the signal wire close to the power line and return the ground to the ground  
E. None of the above options are correct</v>
      </c>
    </row>
    <row r="5" spans="1:10" ht="13.5" x14ac:dyDescent="0.3">
      <c r="A5" s="1">
        <v>4</v>
      </c>
      <c r="B5" s="2" t="s">
        <v>17</v>
      </c>
      <c r="C5" s="2" t="s">
        <v>18</v>
      </c>
      <c r="D5" s="2" t="s">
        <v>19</v>
      </c>
      <c r="E5" s="4" t="str">
        <f t="shared" si="0"/>
        <v xml:space="preserve">
A. 将高压驱动与低压信号并排布线，并统一接地层避免浮地  
B. 将高压驱动信号布于内层，低压采集放于外层以缩短路径  
C. 将高压走线靠外层布置，内层模拟信号通过地层完全隔离  
D. 将模拟与数字信号混合布线，并通过厚铜层降低阻抗干扰  
E. 以上选项都不正确</v>
      </c>
      <c r="F5" s="3" t="s">
        <v>3</v>
      </c>
      <c r="G5" s="2" t="s">
        <v>20</v>
      </c>
      <c r="H5" s="4" t="str">
        <f t="shared" si="1"/>
        <v>How to layout layers in systems with HV motor drivers and low-voltage sensors to reduce coupling?</v>
      </c>
      <c r="I5" s="2" t="s">
        <v>21</v>
      </c>
      <c r="J5" t="str">
        <f t="shared" si="2"/>
        <v xml:space="preserve">
A. Route the high-voltage drive and the low-voltage signal side by side, and unify the ground plane to avoid floating ground  
B. Distribute the high-voltage drive signal on the inner layer and place the low-voltage acquisition on the outer layer to shorten the path  
C. The high-voltage traces are arranged by the outer layer, and the inner layer analog signal is completely isolated through the layer  
D. Mix analog and digital signals and reduce impedance interference with thick copper layers  
E. None of the above options are correct</v>
      </c>
    </row>
    <row r="6" spans="1:10" ht="13.5" x14ac:dyDescent="0.3">
      <c r="A6" s="1">
        <v>5</v>
      </c>
      <c r="B6" s="2" t="s">
        <v>22</v>
      </c>
      <c r="C6" s="2" t="s">
        <v>23</v>
      </c>
      <c r="D6" s="2" t="s">
        <v>24</v>
      </c>
      <c r="E6" s="4" t="str">
        <f t="shared" si="0"/>
        <v xml:space="preserve">
A. 将高压走线靠外层布置，内层模拟信号通过地层完全隔离  
B. 将高压驱动信号布于内层，低压采集放于外层以缩短路径  
C. 将高压与低压线路相邻布线，通过厚地层连接屏蔽干扰  
D. 将信号线全部布于中间层，利用外层电源层构成对称结构  
E. 以上选项都不正确</v>
      </c>
      <c r="F6" s="3" t="s">
        <v>25</v>
      </c>
      <c r="G6" s="2" t="s">
        <v>26</v>
      </c>
      <c r="H6" s="4" t="str">
        <f t="shared" si="1"/>
        <v>In rigid-flex multilayer PCBs, how to layout to avoid stress concentration and microcracks?</v>
      </c>
      <c r="I6" s="2" t="s">
        <v>27</v>
      </c>
      <c r="J6" t="str">
        <f t="shared" si="2"/>
        <v xml:space="preserve">
A. The high-voltage traces are arranged by the outer layer, and the inner layer analog signal is completely isolated through the formation  
B. Distribute the high-voltage drive signal on the inner layer and place the low-voltage acquisition on the outer layer to shorten the path  
C. Wire the high-voltage and low-voltage lines adjacent to each other, and shield the interference through thick layer connections  
D. All signal lines are arranged in the middle layer, and the outer power supply layer is used to form a symmetrical structure  
E. None of the above options are correct</v>
      </c>
    </row>
    <row r="7" spans="1:10" ht="13.5" x14ac:dyDescent="0.3">
      <c r="A7" s="1">
        <v>6</v>
      </c>
      <c r="B7" s="2" t="s">
        <v>28</v>
      </c>
      <c r="C7" s="2" t="s">
        <v>29</v>
      </c>
      <c r="D7" s="2" t="s">
        <v>30</v>
      </c>
      <c r="E7" s="4" t="str">
        <f t="shared" si="0"/>
        <v xml:space="preserve">
A. 在柔性区使用对称走线结构，并加密接地网格分散应力  
B. 在刚柔结合区使用扇出结构过渡，避免过孔与元件叠加  
C. 在柔性区集中布置主控元件，减小布线跨区长度  
D. 在连接区域使用连续盲孔提升结构强度与热稳定性  
E. 以上选项都不正确</v>
      </c>
      <c r="F7" s="3" t="s">
        <v>9</v>
      </c>
      <c r="G7" s="2" t="s">
        <v>31</v>
      </c>
      <c r="H7" s="4" t="str">
        <f t="shared" si="1"/>
        <v>In AI audio edge processors, how to layout microphone arrays and acoustic isolation to reduce echo interference?</v>
      </c>
      <c r="I7" s="2" t="s">
        <v>32</v>
      </c>
      <c r="J7" t="str">
        <f t="shared" si="2"/>
        <v xml:space="preserve">
A. Use symmetrical trace structure in the flexible zone and encrypt the ground grid to disperse stress  
B. Use fan-out structure transitions in the rigid-flex zone to avoid overlapping vias with components  
C. The main control components are arranged centrally in the flexible area to reduce the length of the wiring span  
D. Use continuous blind holes in the connection area to improve structural strength and thermal stability  
E. None of the above options are correct</v>
      </c>
    </row>
    <row r="8" spans="1:10" ht="13.5" x14ac:dyDescent="0.3">
      <c r="A8" s="1">
        <v>7</v>
      </c>
      <c r="B8" s="2" t="s">
        <v>33</v>
      </c>
      <c r="C8" s="2" t="s">
        <v>34</v>
      </c>
      <c r="D8" s="2" t="s">
        <v>35</v>
      </c>
      <c r="E8" s="4" t="str">
        <f t="shared" si="0"/>
        <v xml:space="preserve">
A. HDMI与USB差分线分层布置，确保阻抗连续并防止交叉耦合  
B. 所有差分对集中在同一层，简化回流路径并共享参考层  
C. USB差分对靠近HDMI布线区布局以减少信号干扰路径  
D. 将参考地层置于顶层，通过下层走线减少耦合问题  
E. 以上选项都不正确</v>
      </c>
      <c r="F8" s="3" t="s">
        <v>25</v>
      </c>
      <c r="G8" s="2" t="s">
        <v>36</v>
      </c>
      <c r="H8" s="4" t="str">
        <f t="shared" si="1"/>
        <v>In multimedia boards with USB and HDMI, how to layout differential pairs and coupling references?</v>
      </c>
      <c r="I8" s="2" t="s">
        <v>37</v>
      </c>
      <c r="J8" t="str">
        <f t="shared" si="2"/>
        <v xml:space="preserve">
A. HDMI and USB differential cables are layered to ensure continuous impedance and prevent cross-coupling  
B. All differential pairs are centralized on the same layer, simplifying the reflow path and sharing the reference layer  
C. USB differential pairs are laid out close to the HDMI cabling area to reduce signal interference paths  
D. Place the reference stratum on the top layer to reduce coupling issues through lower traces  
E. None of the above options are correct</v>
      </c>
    </row>
    <row r="9" spans="1:10" ht="13.5" x14ac:dyDescent="0.3">
      <c r="A9" s="1">
        <v>8</v>
      </c>
      <c r="B9" s="2" t="s">
        <v>38</v>
      </c>
      <c r="C9" s="2" t="s">
        <v>39</v>
      </c>
      <c r="D9" s="2" t="s">
        <v>40</v>
      </c>
      <c r="E9" s="4" t="str">
        <f t="shared" si="0"/>
        <v xml:space="preserve">
A. 上下通道平行布线，滤波元件集中放置于电源入口处  
B. 上下通道交错分层布线，滤波电容靠近汇聚点并加地通孔墙  
C. 所有通道引脚布于同一层以降低插损，滤波器靠近主控芯片  
D. 使用菊花链结构连接上下通道，通过集中接地屏蔽干扰  
E. 以上选项都不正确</v>
      </c>
      <c r="F9" s="3" t="s">
        <v>9</v>
      </c>
      <c r="G9" s="2" t="s">
        <v>41</v>
      </c>
      <c r="H9" s="4" t="str">
        <f t="shared" si="1"/>
        <v>In multi-layer connector bus systems, how to layout vertical channels and filters?</v>
      </c>
      <c r="I9" s="2" t="s">
        <v>42</v>
      </c>
      <c r="J9" t="str">
        <f t="shared" si="2"/>
        <v xml:space="preserve">
A. The upper and lower channels are wired in parallel, and the filter components are centrally placed at the power supply inlet  
B. Staggered layered wiring of upper and lower channels, filter capacitors close to the convergence point and add ground through-hole walls  
C. All channel pins are placed on the same layer to reduce insertion loss, and the filter is close to the main control chip  
D. Use daisy-chain structure to connect the upper and lower channels to shield interference through centralized grounding  
E. None of the above options are correct</v>
      </c>
    </row>
    <row r="10" spans="1:10" ht="13.5" x14ac:dyDescent="0.3">
      <c r="A10" s="1">
        <v>9</v>
      </c>
      <c r="B10" s="2" t="s">
        <v>43</v>
      </c>
      <c r="C10" s="2" t="s">
        <v>44</v>
      </c>
      <c r="D10" s="2" t="s">
        <v>45</v>
      </c>
      <c r="E10" s="4" t="str">
        <f t="shared" si="0"/>
        <v xml:space="preserve">
A. 将高速信号靠近连接器布线，层间方向正交避免转折耦合  
B. 关键信号布于底层以降低干扰，并在中层集中加滤波电容  
C. 所有信号走线走同向以提升布线一致性，连接器采用上下布置  
D. 使用蛇形走线延长高速路径，增强容差匹配效果  
E. 以上选项都不正确</v>
      </c>
      <c r="F10" s="3" t="s">
        <v>25</v>
      </c>
      <c r="G10" s="2" t="s">
        <v>46</v>
      </c>
      <c r="H10" s="4" t="str">
        <f t="shared" si="1"/>
        <v>In embedded boards with board-to-board connectors, how to layout critical signals and layer routing?</v>
      </c>
      <c r="I10" s="2" t="s">
        <v>47</v>
      </c>
      <c r="J10" t="str">
        <f t="shared" si="2"/>
        <v xml:space="preserve">
A. Route the high-speed signal close to the connector, and the direction between the layers is orthogonal to avoid turning coupling  
B. The key signal is distributed at the bottom layer to reduce interference, and filtering capacitors are concentrated in the middle layer  
C. All signal traces are in the same direction to improve the consistency of wiring, and the connectors are arranged up and down  
D. Extend the high-speed path with serpentine traces to enhance tolerance matching  
E. None of the above options are correct</v>
      </c>
    </row>
    <row r="11" spans="1:10" ht="13.5" x14ac:dyDescent="0.3">
      <c r="A11" s="1">
        <v>10</v>
      </c>
      <c r="B11" s="2" t="s">
        <v>48</v>
      </c>
      <c r="C11" s="2" t="s">
        <v>49</v>
      </c>
      <c r="D11" s="2" t="s">
        <v>50</v>
      </c>
      <c r="E11" s="4" t="str">
        <f t="shared" si="0"/>
        <v xml:space="preserve">
A. 各通信协议接口分区布置，信号线远离并加屏蔽地线  
B. LIN与CAN共地布局提高兼容性，PHY集中靠近主控芯片  
C. PHY元件布于底层统一区域，通过顶层走线跨接信号  
D. 各总线接口交错走线并与电源平面对称分布  
E. 以上选项都不正确</v>
      </c>
      <c r="F11" s="3" t="s">
        <v>25</v>
      </c>
      <c r="G11" s="2" t="s">
        <v>51</v>
      </c>
      <c r="H11" s="4" t="str">
        <f t="shared" si="1"/>
        <v>In automotive gateway controllers, how to layout LIN, CAN, and Ethernet PHYs to avoid interference?</v>
      </c>
      <c r="I11" s="2" t="s">
        <v>52</v>
      </c>
      <c r="J11" t="str">
        <f t="shared" si="2"/>
        <v xml:space="preserve">
A. The interface of each communication protocol is partitioned, and the signal line is far away and shielded from the ground wire  
B. The layout of LIN and CAN is co-located to improve compatibility, and the PHY is concentrated close to the main control chip  
C. PHY components are distributed in the unified area of the bottom layer and the signal is crossed through the top trace  
D. The bus interfaces are staggered and symmetrically distributed with the power supply plane  
E. None of the above options are correct</v>
      </c>
    </row>
    <row r="12" spans="1:10" ht="13.5" x14ac:dyDescent="0.3">
      <c r="A12" s="1">
        <v>11</v>
      </c>
      <c r="B12" s="2" t="s">
        <v>53</v>
      </c>
      <c r="C12" s="2" t="s">
        <v>54</v>
      </c>
      <c r="D12" s="2" t="s">
        <v>55</v>
      </c>
      <c r="E12" s="4" t="str">
        <f t="shared" si="0"/>
        <v xml:space="preserve">
A. 放大器布于板中心，电极输入延长走线集中连接  
B. 电极线靠近数字处理区布线，统一屏蔽层位于底层  
C. 电极信号远离数字区，放大器贴近输入并加接地屏蔽  
D. 屏蔽层下移至电源层，与放大器共享回流路径  
E. 以上选项都不正确</v>
      </c>
      <c r="F12" s="3" t="s">
        <v>3</v>
      </c>
      <c r="G12" s="2" t="s">
        <v>56</v>
      </c>
      <c r="H12" s="4" t="str">
        <f t="shared" si="1"/>
        <v>In EEG front-end PCBs, how to layout electrodes, amplifiers, and shielding?</v>
      </c>
      <c r="I12" s="2" t="s">
        <v>57</v>
      </c>
      <c r="J12" t="str">
        <f t="shared" si="2"/>
        <v xml:space="preserve">
A. The amplifier is arranged in the center of the board, and the electrode input is connected to the extension trace  
B. The electrode wire is routed close to the digital processing area, and the uniform shield is located on the bottom layer  
C. The electrode signal is far away from the digital region, and the amplifier is close to the input and ground shielded  
D. The shield is moved down to the power plane to share the reflow path with the amplifier  
E. None of the above options are correct</v>
      </c>
    </row>
    <row r="13" spans="1:10" ht="13.5" x14ac:dyDescent="0.3">
      <c r="A13" s="1">
        <v>12</v>
      </c>
      <c r="B13" s="2" t="s">
        <v>58</v>
      </c>
      <c r="C13" s="2" t="s">
        <v>59</v>
      </c>
      <c r="D13" s="2" t="s">
        <v>60</v>
      </c>
      <c r="E13" s="4" t="str">
        <f t="shared" si="0"/>
        <v xml:space="preserve">
A. 触控信号线紧贴屏蔽层边缘布线，以提高响应灵敏度  
B. 使用顶层走线靠近面板边缘，屏蔽层悬空防止感应干扰  
C. 触控信号远离屏蔽层边缘布线，接地多孔结构稳定层间耦合  
D. 屏蔽层与触控线重叠布置，通过厚介质层阻断耦合  
E. 以上选项都不正确</v>
      </c>
      <c r="F13" s="3" t="s">
        <v>3</v>
      </c>
      <c r="G13" s="2" t="s">
        <v>61</v>
      </c>
      <c r="H13" s="4" t="str">
        <f t="shared" si="1"/>
        <v>In HMI boards with capacitive touch and shielding, how to layout signals and shields to prevent false touches?</v>
      </c>
      <c r="I13" s="2" t="s">
        <v>62</v>
      </c>
      <c r="J13" t="str">
        <f t="shared" si="2"/>
        <v xml:space="preserve">
A. The touch signal cable is routed snugly against the edge of the shield to improve response sensitivity  
B. Use the top trace close to the edge of the panel with the shield suspended to prevent induced interference  
C. The touch signal is routed away from the edge of the shield, and the grounded porous structure stabilizes the interlayer coupling  
D. The shielding layer and the touch cable are arranged overlapping, and the coupling is blocked by a thick dielectric layer  
E. None of the above options are correct</v>
      </c>
    </row>
    <row r="14" spans="1:10" ht="13.5" x14ac:dyDescent="0.3">
      <c r="A14" s="1">
        <v>13</v>
      </c>
      <c r="B14" s="2" t="s">
        <v>63</v>
      </c>
      <c r="C14" s="2" t="s">
        <v>64</v>
      </c>
      <c r="D14" s="2" t="s">
        <v>65</v>
      </c>
      <c r="E14" s="4" t="str">
        <f t="shared" si="0"/>
        <v xml:space="preserve">
A. 隔离芯片与收发器同侧布置，数字与CAN地严格分区并保持连续参考  
B. 隔离与非隔离元件交叉布置，使用统一接地以简化布线  
C. 接口芯片集中布于主控附近，参考地通过接地桥统一连接  
D. 将CAN收发器放置于数字区域，隔离层靠近电源输入端  
E. 以上选项都不正确</v>
      </c>
      <c r="F14" s="3" t="s">
        <v>25</v>
      </c>
      <c r="G14" s="2" t="s">
        <v>66</v>
      </c>
      <c r="H14" s="4" t="str">
        <f t="shared" si="1"/>
        <v>In controllers with isolated CAN, how to layout isolators, transceivers, and ground domains?</v>
      </c>
      <c r="I14" s="2" t="s">
        <v>67</v>
      </c>
      <c r="J14" t="str">
        <f t="shared" si="2"/>
        <v xml:space="preserve">
A. The isolation chip and the transceiver are arranged on the same side, and the numbers and CAN are strictly partitioned and continuous references are maintained  
B. Cross-arrangement of isolated and non-isolated components, using uniform grounding to simplify wiring  
C. The interface chips are concentrated near the main control, and the reference ground is uniformly connected through the grounding bridge  
D. Place the CAN transceiver in the digital area with the isolation layer near the power input  
E. None of the above options are correct</v>
      </c>
    </row>
    <row r="15" spans="1:10" ht="13.5" x14ac:dyDescent="0.3">
      <c r="A15" s="1">
        <v>14</v>
      </c>
      <c r="B15" s="2" t="s">
        <v>68</v>
      </c>
      <c r="C15" s="2" t="s">
        <v>69</v>
      </c>
      <c r="D15" s="2" t="s">
        <v>70</v>
      </c>
      <c r="E15" s="4" t="str">
        <f t="shared" si="0"/>
        <v xml:space="preserve">
A. 冷端补偿传感器集中布置于板边，放大器位于主控芯片周围  
B. 放大器靠近热电偶端布置，补偿传感器紧邻放大器并屏蔽关键走线  
C. 所有敏感信号统一布于底层，通过电源层构成屏蔽路径  
D. 屏蔽层布于数字区上方，热端和冷端信号交叉布线连接  
E. 以上选项都不正确</v>
      </c>
      <c r="F15" s="3" t="s">
        <v>9</v>
      </c>
      <c r="G15" s="2" t="s">
        <v>71</v>
      </c>
      <c r="H15" s="4" t="str">
        <f t="shared" si="1"/>
        <v>In multi-channel temperature acquisition boards, how to layout thermocouple amps, cold-junction sensors, and shielding?</v>
      </c>
      <c r="I15" s="2" t="s">
        <v>72</v>
      </c>
      <c r="J15" t="str">
        <f t="shared" si="2"/>
        <v xml:space="preserve">
A. The cold-end compensation sensor is centrally arranged on the edge of the board, and the amplifier is located around the main control chip  
B. The amplifier is arranged close to the thermocouple end, with the compensation sensor adjacent to the amplifier and shielded from the critical traces  
C. All sensitive signals are uniformly distributed on the bottom layer, and the shielding path is formed through the power supply layer  
D. The shielding layer is placed above the digital area, and the hot and cold signals are cross-wired  
E. None of the above options are correct</v>
      </c>
    </row>
    <row r="16" spans="1:10" ht="13.5" x14ac:dyDescent="0.3">
      <c r="A16" s="1">
        <v>15</v>
      </c>
      <c r="B16" s="2" t="s">
        <v>73</v>
      </c>
      <c r="C16" s="2" t="s">
        <v>74</v>
      </c>
      <c r="D16" s="2" t="s">
        <v>75</v>
      </c>
      <c r="E16" s="4" t="str">
        <f t="shared" si="0"/>
        <v xml:space="preserve">
A. 红外与激光源并排布置，统一信号层增强同步精度  
B. 红外与激光源交错布置，中间加金属屏蔽，模拟信号分层布线  
C. 激光发射器贴近电源区布置，红外接收器置于其正下方  
D. 所有传感组件布于同一区域，通过厚介质层进行空间隔离  
E. 以上选项都不正确</v>
      </c>
      <c r="F16" s="3" t="s">
        <v>9</v>
      </c>
      <c r="G16" s="2" t="s">
        <v>76</v>
      </c>
      <c r="H16" s="4" t="str">
        <f t="shared" si="1"/>
        <v>In hybrid IR + laser rangefinders, how to layout detectors, lasers, and shielding?</v>
      </c>
      <c r="I16" s="2" t="s">
        <v>77</v>
      </c>
      <c r="J16" t="str">
        <f t="shared" si="2"/>
        <v xml:space="preserve">
A. Infrared and laser sources are arranged side by side, and the signal layer is unified to enhance the synchronization accuracy  
B. Infrared and laser sources are staggered, with metal shielding in the middle, and analog signals are layered and routed  
C. The laser emitter is arranged close to the power supply area, and the infrared receiver is placed directly below it  
D. All sensing components are distributed in the same area, spatially isolated by a thick media layer  
E. None of the above options are correct</v>
      </c>
    </row>
    <row r="17" spans="1:10" ht="13.5" x14ac:dyDescent="0.3">
      <c r="A17" s="1">
        <v>16</v>
      </c>
      <c r="B17" s="2" t="s">
        <v>78</v>
      </c>
      <c r="C17" s="2" t="s">
        <v>79</v>
      </c>
      <c r="D17" s="2" t="s">
        <v>80</v>
      </c>
      <c r="E17" s="4" t="str">
        <f t="shared" si="0"/>
        <v xml:space="preserve">
A. PHY靠近RJ45接口布置，滤波器串联于接收路径，屏蔽层接地铜皮完整覆盖  
B. EMI滤波器布于电源侧，PHY芯片集中放置于主控附近  
C. 屏蔽层连接于信号参考层，PHY与RJ45之间保留过渡缓冲区  
D. PHY远离接口布置以优化热扩散路径，滤波器并联于信号线  
E. 以上选项都不正确 </v>
      </c>
      <c r="F17" s="3" t="s">
        <v>25</v>
      </c>
      <c r="G17" s="2" t="s">
        <v>81</v>
      </c>
      <c r="H17" s="4" t="str">
        <f t="shared" si="1"/>
        <v>In automotive Ethernet boards, how to layout PHY, EMI filters, and shield connections?</v>
      </c>
      <c r="I17" s="2" t="s">
        <v>82</v>
      </c>
      <c r="J17" t="str">
        <f t="shared" si="2"/>
        <v xml:space="preserve">
A. The PHY is arranged close to the RJ45 interface, the filter is connected in series to the receiving path, and the shield is completely covered by the grounding copper skin  
B. EMI filters are distributed on the power supply side, and PHY chips are placed near the main control  
C. The shield is connected to the signal reference layer, and a transition buffer is reserved between the PHY and the RJ45  
D. PHY is arranged away from the interface to optimize the thermal diffusion path, and the filter is connected in parallel to the signal line  
E. None of the above options are correct</v>
      </c>
    </row>
    <row r="18" spans="1:10" ht="13.5" x14ac:dyDescent="0.3">
      <c r="A18" s="1">
        <v>17</v>
      </c>
      <c r="B18" s="2" t="s">
        <v>83</v>
      </c>
      <c r="C18" s="2" t="s">
        <v>84</v>
      </c>
      <c r="D18" s="2" t="s">
        <v>85</v>
      </c>
      <c r="E18" s="4" t="str">
        <f t="shared" si="0"/>
        <v xml:space="preserve">
A. 发射与采集模块对称布置于上下层，通过地层提供公共参考  
B. 激光驱动与采集单元分区布局，屏蔽层使用多点接地连接  
C. 激光驱动与采集近邻同层布置，屏蔽层环绕采集路径并单点接地  
D. 回波路径使用蛇形走线调节时序，屏蔽结构设于底层边缘  
E. 以上选项都不正确</v>
      </c>
      <c r="F18" s="3" t="s">
        <v>3</v>
      </c>
      <c r="G18" s="2" t="s">
        <v>86</v>
      </c>
      <c r="H18" s="4" t="str">
        <f t="shared" si="1"/>
        <v>In laser-ranging obstacle sensors, how to layout TX control, echo sampling, and shielding?</v>
      </c>
      <c r="I18" s="2" t="s">
        <v>87</v>
      </c>
      <c r="J18" t="str">
        <f t="shared" si="2"/>
        <v xml:space="preserve">
A. The emission and acquisition modules are symmetrically arranged in the upper and lower layers, providing a common reference through the strata  
B. The laser drive and acquisition unit are divided into partitions, and the shield is connected by multi-point grounding  
C. The laser is driven by the same layer as the acquisition neighbor, and the shield layer surrounds the acquisition path and grounds at a single point  
D. The echo path is adjusted by using a serpentine trace, and the shielding structure is set at the bottom edge  
E. None of the above options are correct</v>
      </c>
    </row>
    <row r="19" spans="1:10" ht="13.5" x14ac:dyDescent="0.3">
      <c r="A19" s="1">
        <v>18</v>
      </c>
      <c r="B19" s="2" t="s">
        <v>88</v>
      </c>
      <c r="C19" s="2" t="s">
        <v>89</v>
      </c>
      <c r="D19" s="2" t="s">
        <v>90</v>
      </c>
      <c r="E19" s="4" t="str">
        <f t="shared" si="0"/>
        <v xml:space="preserve">
A. ESD器件布于靠近主芯片位置，走线加长以隔离干扰源  
B. ESD器件靠近接口布置，走线短直，辅以接地铜皮构建低阻通道  
C. ESD保护电路与信号路径交叉布线，并分层接地以提升通用性  
D. 所有ESD元件布于统一区域，靠近电源区集中布局  
E. 以上选项都不正确</v>
      </c>
      <c r="F19" s="3" t="s">
        <v>9</v>
      </c>
      <c r="G19" s="2" t="s">
        <v>91</v>
      </c>
      <c r="H19" s="4" t="str">
        <f t="shared" si="1"/>
        <v>In multilayer boards, how to place ESD parts for better immunity?</v>
      </c>
      <c r="I19" s="2" t="s">
        <v>92</v>
      </c>
      <c r="J19" t="str">
        <f t="shared" si="2"/>
        <v xml:space="preserve">
A. ESD devices are placed close to the main chip, and the traces are extended to isolate the interference source  
B. The ESD device is arranged close to the interface, with short and straight traces, supplemented by grounding copper skin to construct a low-resistance channel  
C. ESD protection circuit is cross-routed with signal path, and layered grounding is used to improve versatility  
D. All ESD components are distributed in a unified area, close to the power supply area  
E. None of the above options are correct</v>
      </c>
    </row>
    <row r="20" spans="1:10" ht="13.5" x14ac:dyDescent="0.3">
      <c r="A20" s="1">
        <v>19</v>
      </c>
      <c r="B20" s="2" t="s">
        <v>93</v>
      </c>
      <c r="C20" s="2" t="s">
        <v>94</v>
      </c>
      <c r="D20" s="2" t="s">
        <v>95</v>
      </c>
      <c r="E20" s="4" t="str">
        <f t="shared" si="0"/>
        <v xml:space="preserve">
A. 物理层芯片靠近接口布置，TVS与电阻保护并联，MCU连接处阻抗匹配  
B. MCU侧布置物理层芯片，TVS保护电路集中于供电模块旁  
C. 所有接口器件布于主控附近，保护元件与信号线串联连接  
D. 物理层芯片与MCU对角布置，保护器件置于板中部缓冲干扰  
E. 以上选项都不正确</v>
      </c>
      <c r="F20" s="3" t="s">
        <v>25</v>
      </c>
      <c r="G20" s="2" t="s">
        <v>96</v>
      </c>
      <c r="H20" s="4" t="str">
        <f t="shared" si="1"/>
        <v>In CAN-FD/LIN diagnostic modules, how to layout transceivers, protection, and MCU IO?</v>
      </c>
      <c r="I20" s="2" t="s">
        <v>97</v>
      </c>
      <c r="J20" t="str">
        <f t="shared" si="2"/>
        <v xml:space="preserve">
A. The physical layer chip is arranged close to the interface, the TVS and resistive protection are connected in parallel, and the impedance at the MCU connection is matched  
B. The physical layer chip is arranged on the MCU side, and the TVS protection circuit is concentrated next to the power supply module  
C. All interface devices are distributed near the main control, and the protection components are connected in series with the signal line  
D. The physical layer chip is arranged diagonally from the MCU, and the protective device is placed in the middle of the board to buffer interference  
E. None of the above options are correct</v>
      </c>
    </row>
    <row r="21" spans="1:10" ht="13.5" x14ac:dyDescent="0.3">
      <c r="A21" s="1">
        <v>20</v>
      </c>
      <c r="B21" s="2" t="s">
        <v>98</v>
      </c>
      <c r="C21" s="2" t="s">
        <v>99</v>
      </c>
      <c r="D21" s="2" t="s">
        <v>100</v>
      </c>
      <c r="E21" s="4" t="str">
        <f t="shared" si="0"/>
        <v xml:space="preserve">
A. 中继收发器靠近电源布置，控制模块布于板边防止干扰  
B. 收发器靠两侧天线接口布置，控制模块居中，隔离层用于信道地参考  
C. 所有射频通道集中走线布于顶层，控制模块位于下层提升可靠性  
D. 切换控制与收发器并排布置，天线信号线交错穿越屏蔽区域  
E. 以上选项都不正确</v>
      </c>
      <c r="F21" s="3" t="s">
        <v>9</v>
      </c>
      <c r="G21" s="2" t="s">
        <v>101</v>
      </c>
      <c r="H21" s="4" t="str">
        <f t="shared" si="1"/>
        <v>In wireless relays, how to layout transceivers, controller, and isolation layer?</v>
      </c>
      <c r="I21" s="2" t="s">
        <v>102</v>
      </c>
      <c r="J21" t="str">
        <f t="shared" si="2"/>
        <v xml:space="preserve">
A. The relay transceiver is arranged close to the power supply, and the control module is arranged on the edge of the board to prevent interference  
B. The transceiver is arranged by the antenna interfaces on both sides, the control module is centered, and the isolation layer is used for channel ground reference  
C. All RF channels are centrally traced on the top layer, and the control module is located on the lower layer to improve reliability  
D. The switching control and the transceiver are arranged side by side, and the antenna signal lines are staggered through the shielded area  
E. None of the above options are correct</v>
      </c>
    </row>
    <row r="22" spans="1:10" ht="13.5" x14ac:dyDescent="0.3">
      <c r="A22" s="1">
        <v>21</v>
      </c>
      <c r="B22" s="2" t="s">
        <v>103</v>
      </c>
      <c r="C22" s="2" t="s">
        <v>104</v>
      </c>
      <c r="D22" s="2" t="s">
        <v>105</v>
      </c>
      <c r="E22" s="4" t="str">
        <f t="shared" si="0"/>
        <v xml:space="preserve">
A. 上下天线对称布线，LNA靠近接口区，射频开关布于信号末端  
B. 天线与LNA布于不同层，射频开关靠近MCU统一控制  
C. 上下天线分层布置，LNA紧邻天线端口，射频开关置于中间切换通道  
D. 所有器件集中布于主控旁以简化走线路径和电源供给  
E. 以上选项都不正确</v>
      </c>
      <c r="F22" s="3" t="s">
        <v>3</v>
      </c>
      <c r="G22" s="2" t="s">
        <v>106</v>
      </c>
      <c r="H22" s="4" t="str">
        <f t="shared" si="1"/>
        <v>In RF front-ends, how to layout dual antennas, LNA, and RF switch array?</v>
      </c>
      <c r="I22" s="2" t="s">
        <v>107</v>
      </c>
      <c r="J22" t="str">
        <f t="shared" si="2"/>
        <v xml:space="preserve">
A. The upper and lower antennas are symmetrically wired, the LNA is close to the interface area, and the RF switch is arranged at the end of the signal  
B. The antenna and LNA are arranged on different layers, and the RF switch is close to the MCU for unified control  
C. The upper and lower antennas are arranged in layers, with the LNA adjacent to the antenna port and the RF switch placed in the middle switching channel  
D. All devices are centrally located next to the main control to simplify trace paths and power supply  
E. None of the above options are correct</v>
      </c>
    </row>
    <row r="23" spans="1:10" ht="13.5" x14ac:dyDescent="0.3">
      <c r="A23" s="1">
        <v>22</v>
      </c>
      <c r="B23" s="2" t="s">
        <v>108</v>
      </c>
      <c r="C23" s="2" t="s">
        <v>109</v>
      </c>
      <c r="D23" s="2" t="s">
        <v>110</v>
      </c>
      <c r="E23" s="4" t="str">
        <f t="shared" si="0"/>
        <v xml:space="preserve">
A. 采样接口分区靠近监测点布置，隔离器件位于模拟与数字区域之间，处理器居中放置  
B. 将所有采样通道统一引出至中心区域，通过电源层进行交叉隔离以减少模块干扰  
C. 在每个通道旁配置小型隔离器件并通过冗余布线连接至外围控制器区块  
D. 处理器布置于高压接口端，与隔离通道并行布置以实现集中式控制逻辑  
E. 以上选项都不正确</v>
      </c>
      <c r="F23" s="3" t="s">
        <v>25</v>
      </c>
      <c r="G23" s="2" t="s">
        <v>111</v>
      </c>
      <c r="H23" s="4" t="str">
        <f t="shared" si="1"/>
        <v>In HV insulation monitors, how to layout input, isolation, and processor?</v>
      </c>
      <c r="I23" s="2" t="s">
        <v>112</v>
      </c>
      <c r="J23" t="str">
        <f t="shared" si="2"/>
        <v xml:space="preserve">
A. The sampling interface partition is arranged close to the monitoring point, and the isolation device is located between the analog and digital regions, and the processor is placed in the center  
B. All sampling channels are uniformly directed out to the central area, cross-isolated through the power layer to reduce module interference  
C. Configure small isolated devices next to each channel and connect them to the peripheral controller block with redundant cabling  
D. The processor is arranged at the high-voltage interface and arranged in parallel with the isolation channel to realize the centralized control logic  
E. None of the above options are correct</v>
      </c>
    </row>
    <row r="24" spans="1:10" ht="13.5" x14ac:dyDescent="0.3">
      <c r="A24" s="1">
        <v>23</v>
      </c>
      <c r="B24" s="2" t="s">
        <v>113</v>
      </c>
      <c r="C24" s="2" t="s">
        <v>114</v>
      </c>
      <c r="D24" s="2" t="s">
        <v>115</v>
      </c>
      <c r="E24" s="4" t="str">
        <f t="shared" si="0"/>
        <v xml:space="preserve">
A. 连接器靠边缘封装区域布置，传感器布于开孔区域，屏蔽层包围敏感路径  
B. 所有防水连接器和传感器集中于中央区域，通过等距排布方式均衡热应力并统一屏蔽处理  
C. 连接器与电化学传感器分布于板两侧，通过双重密封结构连接至屏蔽外壳以增强可靠性  
D. 传感器布于接口中间区域并加防腐层，屏蔽结构使用多层包裹策略覆盖整个线路段  
E. 以上选项都不正确</v>
      </c>
      <c r="F24" s="3" t="s">
        <v>25</v>
      </c>
      <c r="G24" s="2" t="s">
        <v>116</v>
      </c>
      <c r="H24" s="4" t="str">
        <f t="shared" si="1"/>
        <v>In marine sensor boards, how to layout waterproof connectors, sensors, and shielding?</v>
      </c>
      <c r="I24" s="2" t="s">
        <v>117</v>
      </c>
      <c r="J24" t="str">
        <f t="shared" si="2"/>
        <v xml:space="preserve">
A. The connector is arranged by the edge encapsulation area, the sensor is distributed in the open area, and the shield surrounds the sensitive path  
B. All waterproof connectors and sensors are concentrated in the central area, and the thermal stress is balanced and uniformly shielded by equidistant arrangement  
C. Connectors and electrochemical sensors are distributed on both sides of the board and are connected to the shielded housing by a double seal structure for enhanced reliability  
D. The sensor is distributed in the middle area of the interface with an anti-corrosion layer, and the shielding structure uses a multi-layer wrapping strategy to cover the entire line section  
E. None of the above options are correct</v>
      </c>
    </row>
    <row r="25" spans="1:10" ht="13.5" x14ac:dyDescent="0.3">
      <c r="A25" s="1">
        <v>24</v>
      </c>
      <c r="B25" s="2" t="s">
        <v>118</v>
      </c>
      <c r="C25" s="2" t="s">
        <v>119</v>
      </c>
      <c r="D25" s="2" t="s">
        <v>120</v>
      </c>
      <c r="E25" s="4" t="str">
        <f t="shared" si="0"/>
        <v xml:space="preserve">
A. 电光转换芯片紧邻SerDes布置，微光引擎贴近转接接口，EMI层包覆传输区  
B. 微光引擎与数据控制逻辑集成在顶层模块内，并通过光波导耦合至远端传输接口以减小损耗  
C. 将电光转换器布于板边，与连接器呈斜角分布，同时在下方布置大面积铜层抑制串扰  
D. 所有光学模块统一置于信号对称中心，使用双向多点接地结构对EMI路径进行阻断  
E. 以上选项都不正确</v>
      </c>
      <c r="F25" s="3" t="s">
        <v>25</v>
      </c>
      <c r="G25" s="2" t="s">
        <v>121</v>
      </c>
      <c r="H25" s="4" t="str">
        <f t="shared" si="1"/>
        <v>In CPO communication boards, how to layout E-O converters, micro-optics, and EMI layers?</v>
      </c>
      <c r="I25" s="2" t="s">
        <v>122</v>
      </c>
      <c r="J25" t="str">
        <f t="shared" si="2"/>
        <v xml:space="preserve">
A. The electro-optical conversion chip is close to the SerDes arrangement, the low-light engine is close to the adapter interface, and the EMI layer covers the transmission area  
B. The micro engine is integrated with the data control logic in the top-level module and coupled to the remote transmission interface via an optical waveguide to reduce losses  
C. Distribute the electro-optical converter on the edge of the board, distribute it at an angle to the connector, and arrange a large area of copper layer below to suppress crosstalk  
D. All optical modules are uniformly placed in the center of signal symmetry, and the EMI path is blocked by a two-way multi-point grounding structure  
E. None of the above options are correct</v>
      </c>
    </row>
    <row r="26" spans="1:10" ht="13.5" x14ac:dyDescent="0.3">
      <c r="A26" s="1">
        <v>25</v>
      </c>
      <c r="B26" s="2" t="s">
        <v>123</v>
      </c>
      <c r="C26" s="2" t="s">
        <v>124</v>
      </c>
      <c r="D26" s="2" t="s">
        <v>125</v>
      </c>
      <c r="E26" s="4" t="str">
        <f t="shared" si="0"/>
        <v xml:space="preserve">
A. 所有无源器件分布于外围通道之间，并在不同层交错布置以形成可调谐耦合结构  
B. 埋容/埋感区域放于中间层，信号线保持垂直方向走线，叠层设计确保耦合稳定性  
C. 通过对称铺铜层形成等效电容网络，信号线走线方向随器件布局自由调整  
D. 将埋容与埋感器件布于靠近表层区域，并通过多层交错走线增强信号调制能力  
E. 以上选项都不正确</v>
      </c>
      <c r="F26" s="3" t="s">
        <v>9</v>
      </c>
      <c r="G26" s="2" t="s">
        <v>126</v>
      </c>
      <c r="H26" s="4" t="str">
        <f t="shared" si="1"/>
        <v>In embedded passive PCBs, how to layout embedded caps/inductors, signal coupling, and stackup?</v>
      </c>
      <c r="I26" s="2" t="s">
        <v>127</v>
      </c>
      <c r="J26" t="str">
        <f t="shared" si="2"/>
        <v xml:space="preserve">
A. All passive devices are distributed between the peripheral channels and staggered on different layers to form a tunable coupling structure  
B. The buried/buried sensing area is placed in the middle layer, the signal line is kept vertically routed, and the stacked design ensures the coupling stability  
C. Symmetrically copper-paved copper layer forms an equivalent capacitor network, and the signal line trace direction is freely adjusted according to the device layout  
D. The buried capacitance and sensing devices are distributed in the area close to the surface, and the signal modulation capability is enhanced by multi-layer interleaved traces  
E. None of the above options are correct</v>
      </c>
    </row>
    <row r="27" spans="1:10" ht="13.5" x14ac:dyDescent="0.3">
      <c r="A27" s="1">
        <v>26</v>
      </c>
      <c r="B27" s="2" t="s">
        <v>128</v>
      </c>
      <c r="C27" s="2" t="s">
        <v>129</v>
      </c>
      <c r="D27" s="2" t="s">
        <v>130</v>
      </c>
      <c r="E27" s="4" t="str">
        <f t="shared" si="0"/>
        <v xml:space="preserve">
A. 驱动信号分层交错布线，感应区覆盖整个显示模组区域，并在边缘设置间歇接地屏蔽  
B. 感应层集中于中间区域，EMC结构采用非对称接地方式包覆外围并附加抗扰电容阵列  
C. 触控驱动贴近FPC连接器，感应层对称分布，EMC结构包围信号区防止外泄  
D. 触控驱动与显示控制统一布线至处理器，EMC结构选用通孔阵列方式连接至每层接地  
E. 以上选项都不正确</v>
      </c>
      <c r="F27" s="3" t="s">
        <v>3</v>
      </c>
      <c r="G27" s="2" t="s">
        <v>131</v>
      </c>
      <c r="H27" s="4" t="str">
        <f t="shared" si="1"/>
        <v>In HMI boards with touch and proximity, how to layout driver, sensor, and EMC structures?</v>
      </c>
      <c r="I27" s="2" t="s">
        <v>132</v>
      </c>
      <c r="J27" t="str">
        <f t="shared" si="2"/>
        <v xml:space="preserve">
A. The driver signal is layered and staggered, and the sensing area covers the entire display module area, and intermittent ground shielding is set at the edge  
B. The induction layer is concentrated in the middle area, and the EMC structure adopts an asymmetric grounding method to cover the periphery and attach an anti-disturbance capacitor array  
C. The touch drive is close to the FPC connector, the induction layer is symmetrically distributed, and the EMC structure surrounds the signal area to prevent leakage  
D. The touch driver and display control are uniformly wired to the processor, and the EMC structure is connected to each layer of grounding in a through-hole array  
E. None of the above options are correct</v>
      </c>
    </row>
    <row r="28" spans="1:10" x14ac:dyDescent="0.3">
      <c r="F28" s="1"/>
    </row>
    <row r="29" spans="1:10" x14ac:dyDescent="0.3">
      <c r="F29" s="1"/>
    </row>
    <row r="30" spans="1:10" x14ac:dyDescent="0.3">
      <c r="F30" s="1"/>
    </row>
    <row r="31" spans="1:10" x14ac:dyDescent="0.3">
      <c r="F31" s="1"/>
    </row>
    <row r="32" spans="1:10" x14ac:dyDescent="0.3">
      <c r="F32" s="1"/>
    </row>
    <row r="33" spans="6:6" x14ac:dyDescent="0.3">
      <c r="F33" s="1"/>
    </row>
    <row r="34" spans="6:6" x14ac:dyDescent="0.3">
      <c r="F34" s="1"/>
    </row>
    <row r="35" spans="6:6" x14ac:dyDescent="0.3">
      <c r="F35" s="1"/>
    </row>
    <row r="36" spans="6:6" x14ac:dyDescent="0.3">
      <c r="F36" s="1"/>
    </row>
    <row r="37" spans="6:6" x14ac:dyDescent="0.3">
      <c r="F37" s="1"/>
    </row>
    <row r="38" spans="6:6" x14ac:dyDescent="0.3">
      <c r="F38" s="1"/>
    </row>
    <row r="39" spans="6:6" x14ac:dyDescent="0.3">
      <c r="F39" s="1"/>
    </row>
    <row r="40" spans="6:6" x14ac:dyDescent="0.3">
      <c r="F40" s="1"/>
    </row>
    <row r="41" spans="6:6" x14ac:dyDescent="0.3">
      <c r="F41" s="1"/>
    </row>
    <row r="42" spans="6:6" x14ac:dyDescent="0.3">
      <c r="F42" s="1"/>
    </row>
    <row r="43" spans="6:6" x14ac:dyDescent="0.3">
      <c r="F43" s="1"/>
    </row>
    <row r="44" spans="6:6" x14ac:dyDescent="0.3">
      <c r="F44" s="1"/>
    </row>
    <row r="45" spans="6:6" x14ac:dyDescent="0.3">
      <c r="F45" s="1"/>
    </row>
    <row r="46" spans="6:6" x14ac:dyDescent="0.3">
      <c r="F46" s="1"/>
    </row>
    <row r="47" spans="6:6" x14ac:dyDescent="0.3">
      <c r="F47" s="1"/>
    </row>
    <row r="48" spans="6:6" x14ac:dyDescent="0.3">
      <c r="F48" s="1"/>
    </row>
    <row r="49" spans="6:6" x14ac:dyDescent="0.3">
      <c r="F49" s="1"/>
    </row>
    <row r="50" spans="6:6" x14ac:dyDescent="0.3">
      <c r="F50" s="1"/>
    </row>
    <row r="51" spans="6:6" x14ac:dyDescent="0.3">
      <c r="F51" s="1"/>
    </row>
    <row r="52" spans="6:6" x14ac:dyDescent="0.3">
      <c r="F52" s="1"/>
    </row>
    <row r="53" spans="6:6" x14ac:dyDescent="0.3">
      <c r="F53" s="1"/>
    </row>
    <row r="54" spans="6:6" x14ac:dyDescent="0.3">
      <c r="F54" s="1"/>
    </row>
    <row r="55" spans="6:6" x14ac:dyDescent="0.3">
      <c r="F55" s="1"/>
    </row>
    <row r="56" spans="6:6" x14ac:dyDescent="0.3">
      <c r="F56" s="1"/>
    </row>
    <row r="57" spans="6:6" x14ac:dyDescent="0.3">
      <c r="F57" s="1"/>
    </row>
    <row r="58" spans="6:6" x14ac:dyDescent="0.3">
      <c r="F58" s="1"/>
    </row>
    <row r="59" spans="6:6" x14ac:dyDescent="0.3">
      <c r="F59" s="1"/>
    </row>
    <row r="60" spans="6:6" x14ac:dyDescent="0.3">
      <c r="F60" s="1"/>
    </row>
    <row r="61" spans="6:6" x14ac:dyDescent="0.3">
      <c r="F61" s="1"/>
    </row>
    <row r="62" spans="6:6" x14ac:dyDescent="0.3">
      <c r="F62" s="1"/>
    </row>
    <row r="63" spans="6:6" x14ac:dyDescent="0.3">
      <c r="F63" s="1"/>
    </row>
    <row r="64" spans="6:6" x14ac:dyDescent="0.3">
      <c r="F64" s="1"/>
    </row>
    <row r="65" spans="6:6" x14ac:dyDescent="0.3">
      <c r="F65" s="1"/>
    </row>
    <row r="66" spans="6:6" x14ac:dyDescent="0.3">
      <c r="F66" s="1"/>
    </row>
    <row r="67" spans="6:6" x14ac:dyDescent="0.3">
      <c r="F67" s="1"/>
    </row>
    <row r="68" spans="6:6" x14ac:dyDescent="0.3">
      <c r="F68" s="1"/>
    </row>
    <row r="69" spans="6:6" x14ac:dyDescent="0.3">
      <c r="F69" s="1"/>
    </row>
    <row r="70" spans="6:6" x14ac:dyDescent="0.3">
      <c r="F70" s="1"/>
    </row>
    <row r="71" spans="6:6" x14ac:dyDescent="0.3">
      <c r="F71" s="1"/>
    </row>
    <row r="72" spans="6:6" x14ac:dyDescent="0.3">
      <c r="F72" s="1"/>
    </row>
    <row r="73" spans="6:6" x14ac:dyDescent="0.3">
      <c r="F73" s="1"/>
    </row>
    <row r="74" spans="6:6" x14ac:dyDescent="0.3">
      <c r="F74" s="1"/>
    </row>
    <row r="75" spans="6:6" x14ac:dyDescent="0.3">
      <c r="F75" s="1"/>
    </row>
    <row r="76" spans="6:6" x14ac:dyDescent="0.3">
      <c r="F76" s="1"/>
    </row>
    <row r="77" spans="6:6" x14ac:dyDescent="0.3">
      <c r="F77" s="1"/>
    </row>
    <row r="78" spans="6:6" x14ac:dyDescent="0.3">
      <c r="F78" s="1"/>
    </row>
    <row r="79" spans="6:6" x14ac:dyDescent="0.3">
      <c r="F79" s="1"/>
    </row>
    <row r="80" spans="6:6" x14ac:dyDescent="0.3">
      <c r="F80" s="1"/>
    </row>
    <row r="81" spans="6:6" x14ac:dyDescent="0.3">
      <c r="F81" s="1"/>
    </row>
    <row r="82" spans="6:6" x14ac:dyDescent="0.3">
      <c r="F82" s="1"/>
    </row>
    <row r="83" spans="6:6" x14ac:dyDescent="0.3">
      <c r="F83" s="1"/>
    </row>
    <row r="84" spans="6:6" x14ac:dyDescent="0.3">
      <c r="F84" s="1"/>
    </row>
    <row r="85" spans="6:6" x14ac:dyDescent="0.3">
      <c r="F85" s="1"/>
    </row>
    <row r="86" spans="6:6" x14ac:dyDescent="0.3">
      <c r="F86" s="1"/>
    </row>
    <row r="87" spans="6:6" x14ac:dyDescent="0.3">
      <c r="F87" s="1"/>
    </row>
    <row r="88" spans="6:6" x14ac:dyDescent="0.3">
      <c r="F88" s="1"/>
    </row>
    <row r="89" spans="6:6" x14ac:dyDescent="0.3">
      <c r="F89" s="1"/>
    </row>
    <row r="90" spans="6:6" x14ac:dyDescent="0.3">
      <c r="F90" s="1"/>
    </row>
    <row r="91" spans="6:6" x14ac:dyDescent="0.3">
      <c r="F91" s="1"/>
    </row>
    <row r="92" spans="6:6" x14ac:dyDescent="0.3">
      <c r="F92" s="1"/>
    </row>
    <row r="93" spans="6:6" x14ac:dyDescent="0.3">
      <c r="F93" s="1"/>
    </row>
    <row r="94" spans="6:6" x14ac:dyDescent="0.3">
      <c r="F94" s="1"/>
    </row>
    <row r="95" spans="6:6" x14ac:dyDescent="0.3">
      <c r="F95" s="1"/>
    </row>
    <row r="96" spans="6:6" x14ac:dyDescent="0.3">
      <c r="F96" s="1"/>
    </row>
    <row r="97" spans="6:6" x14ac:dyDescent="0.3">
      <c r="F97" s="1"/>
    </row>
    <row r="98" spans="6:6" x14ac:dyDescent="0.3">
      <c r="F98" s="1"/>
    </row>
    <row r="99" spans="6:6" x14ac:dyDescent="0.3">
      <c r="F99" s="1"/>
    </row>
    <row r="100" spans="6:6" x14ac:dyDescent="0.3">
      <c r="F100" s="1"/>
    </row>
    <row r="101" spans="6:6" x14ac:dyDescent="0.3">
      <c r="F101" s="1"/>
    </row>
    <row r="102" spans="6:6" x14ac:dyDescent="0.3">
      <c r="F102" s="1"/>
    </row>
    <row r="103" spans="6:6" x14ac:dyDescent="0.3">
      <c r="F103" s="1"/>
    </row>
    <row r="104" spans="6:6" x14ac:dyDescent="0.3">
      <c r="F104" s="1"/>
    </row>
    <row r="105" spans="6:6" x14ac:dyDescent="0.3">
      <c r="F105" s="1"/>
    </row>
    <row r="106" spans="6:6" x14ac:dyDescent="0.3">
      <c r="F106" s="1"/>
    </row>
    <row r="107" spans="6:6" x14ac:dyDescent="0.3">
      <c r="F107" s="1"/>
    </row>
    <row r="108" spans="6:6" x14ac:dyDescent="0.3">
      <c r="F108" s="1"/>
    </row>
    <row r="109" spans="6:6" x14ac:dyDescent="0.3">
      <c r="F109" s="1"/>
    </row>
    <row r="110" spans="6:6" x14ac:dyDescent="0.3">
      <c r="F110" s="1"/>
    </row>
    <row r="111" spans="6:6" x14ac:dyDescent="0.3">
      <c r="F111" s="1"/>
    </row>
    <row r="112" spans="6:6" x14ac:dyDescent="0.3">
      <c r="F112" s="1"/>
    </row>
    <row r="113" spans="6:6" x14ac:dyDescent="0.3">
      <c r="F113" s="1"/>
    </row>
    <row r="114" spans="6:6" x14ac:dyDescent="0.3">
      <c r="F114" s="1"/>
    </row>
    <row r="115" spans="6:6" x14ac:dyDescent="0.3">
      <c r="F115" s="1"/>
    </row>
    <row r="116" spans="6:6" x14ac:dyDescent="0.3">
      <c r="F116" s="1"/>
    </row>
    <row r="117" spans="6:6" x14ac:dyDescent="0.3">
      <c r="F117" s="1"/>
    </row>
    <row r="118" spans="6:6" x14ac:dyDescent="0.3">
      <c r="F118" s="1"/>
    </row>
    <row r="119" spans="6:6" x14ac:dyDescent="0.3">
      <c r="F119" s="1"/>
    </row>
    <row r="120" spans="6:6" x14ac:dyDescent="0.3">
      <c r="F120" s="1"/>
    </row>
    <row r="121" spans="6:6" x14ac:dyDescent="0.3">
      <c r="F121" s="1"/>
    </row>
    <row r="122" spans="6:6" x14ac:dyDescent="0.3">
      <c r="F122" s="1"/>
    </row>
    <row r="123" spans="6:6" x14ac:dyDescent="0.3">
      <c r="F123" s="1"/>
    </row>
    <row r="124" spans="6:6" x14ac:dyDescent="0.3">
      <c r="F124" s="1"/>
    </row>
    <row r="125" spans="6:6" x14ac:dyDescent="0.3">
      <c r="F125" s="1"/>
    </row>
    <row r="126" spans="6:6" x14ac:dyDescent="0.3">
      <c r="F126" s="1"/>
    </row>
    <row r="127" spans="6:6" x14ac:dyDescent="0.3">
      <c r="F127" s="1"/>
    </row>
    <row r="128" spans="6:6" x14ac:dyDescent="0.3">
      <c r="F128" s="1"/>
    </row>
    <row r="129" spans="6:6" x14ac:dyDescent="0.3">
      <c r="F129" s="1"/>
    </row>
    <row r="130" spans="6:6" x14ac:dyDescent="0.3">
      <c r="F130" s="1"/>
    </row>
    <row r="131" spans="6:6" x14ac:dyDescent="0.3">
      <c r="F131" s="1"/>
    </row>
    <row r="132" spans="6:6" x14ac:dyDescent="0.3">
      <c r="F132" s="1"/>
    </row>
    <row r="133" spans="6:6" x14ac:dyDescent="0.3">
      <c r="F133" s="1"/>
    </row>
    <row r="134" spans="6:6" x14ac:dyDescent="0.3">
      <c r="F134" s="1"/>
    </row>
    <row r="135" spans="6:6" x14ac:dyDescent="0.3">
      <c r="F135" s="1"/>
    </row>
    <row r="136" spans="6:6" x14ac:dyDescent="0.3">
      <c r="F136" s="1"/>
    </row>
    <row r="137" spans="6:6" x14ac:dyDescent="0.3">
      <c r="F137" s="1"/>
    </row>
    <row r="138" spans="6:6" x14ac:dyDescent="0.3">
      <c r="F138" s="1"/>
    </row>
    <row r="139" spans="6:6" x14ac:dyDescent="0.3">
      <c r="F139" s="1"/>
    </row>
    <row r="140" spans="6:6" x14ac:dyDescent="0.3">
      <c r="F140" s="1"/>
    </row>
    <row r="141" spans="6:6" x14ac:dyDescent="0.3">
      <c r="F141" s="1"/>
    </row>
    <row r="142" spans="6:6" x14ac:dyDescent="0.3">
      <c r="F142" s="1"/>
    </row>
    <row r="143" spans="6:6" x14ac:dyDescent="0.3">
      <c r="F143" s="1"/>
    </row>
    <row r="144" spans="6:6" x14ac:dyDescent="0.3">
      <c r="F144" s="1"/>
    </row>
    <row r="145" spans="6:6" x14ac:dyDescent="0.3">
      <c r="F145" s="1"/>
    </row>
    <row r="146" spans="6:6" x14ac:dyDescent="0.3">
      <c r="F146" s="1"/>
    </row>
    <row r="147" spans="6:6" x14ac:dyDescent="0.3">
      <c r="F147" s="1"/>
    </row>
    <row r="148" spans="6:6" x14ac:dyDescent="0.3">
      <c r="F148" s="1"/>
    </row>
    <row r="149" spans="6:6" x14ac:dyDescent="0.3">
      <c r="F149" s="1"/>
    </row>
    <row r="150" spans="6:6" x14ac:dyDescent="0.3">
      <c r="F150" s="1"/>
    </row>
    <row r="151" spans="6:6" x14ac:dyDescent="0.3">
      <c r="F151" s="1"/>
    </row>
    <row r="152" spans="6:6" x14ac:dyDescent="0.3">
      <c r="F152" s="1"/>
    </row>
    <row r="153" spans="6:6" x14ac:dyDescent="0.3">
      <c r="F153" s="1"/>
    </row>
    <row r="154" spans="6:6" x14ac:dyDescent="0.3">
      <c r="F154" s="1"/>
    </row>
    <row r="155" spans="6:6" x14ac:dyDescent="0.3">
      <c r="F155" s="1"/>
    </row>
    <row r="156" spans="6:6" x14ac:dyDescent="0.3">
      <c r="F156" s="1"/>
    </row>
    <row r="157" spans="6:6" x14ac:dyDescent="0.3">
      <c r="F157" s="1"/>
    </row>
    <row r="158" spans="6:6" x14ac:dyDescent="0.3">
      <c r="F158" s="1"/>
    </row>
    <row r="159" spans="6:6" x14ac:dyDescent="0.3">
      <c r="F159" s="1"/>
    </row>
    <row r="160" spans="6:6" x14ac:dyDescent="0.3">
      <c r="F160" s="1"/>
    </row>
    <row r="161" spans="6:6" x14ac:dyDescent="0.3">
      <c r="F161" s="1"/>
    </row>
    <row r="162" spans="6:6" x14ac:dyDescent="0.3">
      <c r="F162" s="1"/>
    </row>
    <row r="163" spans="6:6" x14ac:dyDescent="0.3">
      <c r="F163" s="1"/>
    </row>
    <row r="164" spans="6:6" x14ac:dyDescent="0.3">
      <c r="F164" s="1"/>
    </row>
    <row r="165" spans="6:6" x14ac:dyDescent="0.3">
      <c r="F165" s="1"/>
    </row>
    <row r="166" spans="6:6" x14ac:dyDescent="0.3">
      <c r="F166" s="1"/>
    </row>
    <row r="167" spans="6:6" x14ac:dyDescent="0.3">
      <c r="F167" s="1"/>
    </row>
    <row r="168" spans="6:6" x14ac:dyDescent="0.3">
      <c r="F168" s="1"/>
    </row>
    <row r="169" spans="6:6" x14ac:dyDescent="0.3">
      <c r="F169" s="1"/>
    </row>
    <row r="170" spans="6:6" x14ac:dyDescent="0.3">
      <c r="F170" s="1"/>
    </row>
    <row r="171" spans="6:6" x14ac:dyDescent="0.3">
      <c r="F171" s="1"/>
    </row>
    <row r="172" spans="6:6" x14ac:dyDescent="0.3">
      <c r="F172" s="1"/>
    </row>
    <row r="173" spans="6:6" x14ac:dyDescent="0.3">
      <c r="F173" s="1"/>
    </row>
    <row r="174" spans="6:6" x14ac:dyDescent="0.3">
      <c r="F174" s="1"/>
    </row>
    <row r="175" spans="6:6" x14ac:dyDescent="0.3">
      <c r="F175" s="1"/>
    </row>
    <row r="176" spans="6:6" x14ac:dyDescent="0.3">
      <c r="F176" s="1"/>
    </row>
    <row r="177" spans="6:6" x14ac:dyDescent="0.3">
      <c r="F177" s="1"/>
    </row>
    <row r="178" spans="6:6" x14ac:dyDescent="0.3">
      <c r="F178" s="1"/>
    </row>
    <row r="179" spans="6:6" x14ac:dyDescent="0.3">
      <c r="F179" s="1"/>
    </row>
    <row r="180" spans="6:6" x14ac:dyDescent="0.3">
      <c r="F180" s="1"/>
    </row>
    <row r="181" spans="6:6" x14ac:dyDescent="0.3">
      <c r="F181" s="1"/>
    </row>
    <row r="182" spans="6:6" x14ac:dyDescent="0.3">
      <c r="F182" s="1"/>
    </row>
    <row r="183" spans="6:6" x14ac:dyDescent="0.3">
      <c r="F183" s="1"/>
    </row>
    <row r="184" spans="6:6" x14ac:dyDescent="0.3">
      <c r="F184" s="1"/>
    </row>
    <row r="185" spans="6:6" x14ac:dyDescent="0.3">
      <c r="F185" s="1"/>
    </row>
    <row r="186" spans="6:6" x14ac:dyDescent="0.3">
      <c r="F186" s="1"/>
    </row>
    <row r="187" spans="6:6" x14ac:dyDescent="0.3">
      <c r="F187" s="1"/>
    </row>
    <row r="188" spans="6:6" x14ac:dyDescent="0.3">
      <c r="F188" s="1"/>
    </row>
    <row r="189" spans="6:6" x14ac:dyDescent="0.3">
      <c r="F189" s="1"/>
    </row>
    <row r="190" spans="6:6" x14ac:dyDescent="0.3">
      <c r="F190" s="1"/>
    </row>
    <row r="191" spans="6:6" x14ac:dyDescent="0.3">
      <c r="F191" s="1"/>
    </row>
    <row r="192" spans="6:6" x14ac:dyDescent="0.3">
      <c r="F192" s="1"/>
    </row>
    <row r="193" spans="6:6" x14ac:dyDescent="0.3">
      <c r="F193" s="1"/>
    </row>
    <row r="194" spans="6:6" x14ac:dyDescent="0.3">
      <c r="F194" s="1"/>
    </row>
    <row r="195" spans="6:6" x14ac:dyDescent="0.3">
      <c r="F195" s="1"/>
    </row>
    <row r="196" spans="6:6" x14ac:dyDescent="0.3">
      <c r="F196" s="1"/>
    </row>
    <row r="197" spans="6:6" x14ac:dyDescent="0.3">
      <c r="F197" s="1"/>
    </row>
    <row r="198" spans="6:6" x14ac:dyDescent="0.3">
      <c r="F198" s="1"/>
    </row>
    <row r="199" spans="6:6" x14ac:dyDescent="0.3">
      <c r="F199" s="1"/>
    </row>
    <row r="200" spans="6:6" x14ac:dyDescent="0.3">
      <c r="F200" s="1"/>
    </row>
    <row r="201" spans="6:6" x14ac:dyDescent="0.3">
      <c r="F201"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2025-09-14T13:49:07Z</dcterms:modified>
</cp:coreProperties>
</file>